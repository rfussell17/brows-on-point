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temap" sheetId="1" state="visible" r:id="rId1"/>
    <sheet xmlns:r="http://schemas.openxmlformats.org/officeDocument/2006/relationships" name="Redirects" sheetId="2" state="visible" r:id="rId2"/>
    <sheet xmlns:r="http://schemas.openxmlformats.org/officeDocument/2006/relationships" name="Site-wide to-do" sheetId="3" state="visible" r:id="rId3"/>
    <sheet xmlns:r="http://schemas.openxmlformats.org/officeDocument/2006/relationships" name="Settings" sheetId="4" state="visible" r:id="rId4"/>
  </sheets>
  <definedNames>
    <definedName name="_xlnm._FilterDatabase" localSheetId="0" hidden="1">'Sitemap'!$A$1:$U$25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color rgb="000563C1"/>
      <sz val="10"/>
      <u val="single"/>
    </font>
    <font>
      <name val="Arial"/>
      <color rgb="000000FF"/>
      <sz val="10"/>
    </font>
  </fonts>
  <fills count="3">
    <fill>
      <patternFill/>
    </fill>
    <fill>
      <patternFill patternType="gray125"/>
    </fill>
    <fill>
      <patternFill patternType="solid">
        <fgColor rgb="00322A30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2" fillId="0" borderId="0" pivotButton="0" quotePrefix="0" xfId="0"/>
    <xf numFmtId="0" fontId="1" fillId="2" borderId="1" pivotButton="0" quotePrefix="0" xfId="0"/>
    <xf numFmtId="0" fontId="3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dxfs count="5">
    <dxf>
      <fill>
        <patternFill patternType="solid">
          <fgColor rgb="00D9EAD3"/>
          <bgColor rgb="00D9EAD3"/>
        </patternFill>
      </fill>
    </dxf>
    <dxf>
      <fill>
        <patternFill patternType="solid">
          <fgColor rgb="00FFF2CC"/>
          <bgColor rgb="00FFF2CC"/>
        </patternFill>
      </fill>
    </dxf>
    <dxf>
      <fill>
        <patternFill patternType="solid">
          <fgColor rgb="00F4CCCC"/>
          <bgColor rgb="00F4CCCC"/>
        </patternFill>
      </fill>
    </dxf>
    <dxf>
      <fill>
        <patternFill patternType="solid">
          <fgColor rgb="00D9E2F3"/>
          <bgColor rgb="00D9E2F3"/>
        </patternFill>
      </fill>
    </dxf>
    <dxf>
      <fill>
        <patternFill patternType="solid">
          <fgColor rgb="00E7E6E6"/>
          <bgColor rgb="00E7E6E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ocs.google.com/document/d/1yL7qrXKb5f-Je-S_bWLqIrocgb9PJj54i3jUqKdxdgc/edit" TargetMode="External" Id="rId1"/><Relationship Type="http://schemas.openxmlformats.org/officeDocument/2006/relationships/hyperlink" Target="https://docs.google.com/document/d/1yL7qrXKb5f-Je-S_bWLqIrocgb9PJj54i3jUqKdxdgc/edit" TargetMode="External" Id="rId2"/><Relationship Type="http://schemas.openxmlformats.org/officeDocument/2006/relationships/hyperlink" Target="https://docs.google.com/document/d/1yL7qrXKb5f-Je-S_bWLqIrocgb9PJj54i3jUqKdxdgc/edit" TargetMode="External" Id="rId3"/><Relationship Type="http://schemas.openxmlformats.org/officeDocument/2006/relationships/hyperlink" Target="https://docs.google.com/document/d/1yL7qrXKb5f-Je-S_bWLqIrocgb9PJj54i3jUqKdxdgc/edit" TargetMode="External" Id="rId4"/><Relationship Type="http://schemas.openxmlformats.org/officeDocument/2006/relationships/hyperlink" Target="https://docs.google.com/document/d/1yL7qrXKb5f-Je-S_bWLqIrocgb9PJj54i3jUqKdxdgc/edit" TargetMode="External" Id="rId5"/><Relationship Type="http://schemas.openxmlformats.org/officeDocument/2006/relationships/hyperlink" Target="https://docs.google.com/document/d/1yL7qrXKb5f-Je-S_bWLqIrocgb9PJj54i3jUqKdxdgc/edit" TargetMode="External" Id="rId6"/><Relationship Type="http://schemas.openxmlformats.org/officeDocument/2006/relationships/hyperlink" Target="https://docs.google.com/document/d/1yL7qrXKb5f-Je-S_bWLqIrocgb9PJj54i3jUqKdxdgc/edit" TargetMode="External" Id="rId7"/><Relationship Type="http://schemas.openxmlformats.org/officeDocument/2006/relationships/hyperlink" Target="https://docs.google.com/document/d/1yL7qrXKb5f-Je-S_bWLqIrocgb9PJj54i3jUqKdxdgc/edit" TargetMode="External" Id="rId8"/><Relationship Type="http://schemas.openxmlformats.org/officeDocument/2006/relationships/hyperlink" Target="https://docs.google.com/document/d/1yL7qrXKb5f-Je-S_bWLqIrocgb9PJj54i3jUqKdxdgc/edit" TargetMode="External" Id="rId9"/><Relationship Type="http://schemas.openxmlformats.org/officeDocument/2006/relationships/hyperlink" Target="https://docs.google.com/document/d/1yL7qrXKb5f-Je-S_bWLqIrocgb9PJj54i3jUqKdxdgc/edit" TargetMode="External" Id="rId10"/><Relationship Type="http://schemas.openxmlformats.org/officeDocument/2006/relationships/hyperlink" Target="https://docs.google.com/document/d/1yL7qrXKb5f-Je-S_bWLqIrocgb9PJj54i3jUqKdxdgc/edit" TargetMode="External" Id="rId11"/><Relationship Type="http://schemas.openxmlformats.org/officeDocument/2006/relationships/hyperlink" Target="https://docs.google.com/document/d/1yL7qrXKb5f-Je-S_bWLqIrocgb9PJj54i3jUqKdxdgc/edit" TargetMode="External" Id="rId12"/><Relationship Type="http://schemas.openxmlformats.org/officeDocument/2006/relationships/hyperlink" Target="https://docs.google.com/document/d/1yL7qrXKb5f-Je-S_bWLqIrocgb9PJj54i3jUqKdxdgc/edit" TargetMode="External" Id="rId13"/><Relationship Type="http://schemas.openxmlformats.org/officeDocument/2006/relationships/hyperlink" Target="https://docs.google.com/document/d/1yL7qrXKb5f-Je-S_bWLqIrocgb9PJj54i3jUqKdxdgc/edit" TargetMode="External" Id="rId14"/><Relationship Type="http://schemas.openxmlformats.org/officeDocument/2006/relationships/hyperlink" Target="https://docs.google.com/document/d/1yL7qrXKb5f-Je-S_bWLqIrocgb9PJj54i3jUqKdxdgc/edit" TargetMode="External" Id="rId15"/><Relationship Type="http://schemas.openxmlformats.org/officeDocument/2006/relationships/hyperlink" Target="https://docs.google.com/document/d/1yL7qrXKb5f-Je-S_bWLqIrocgb9PJj54i3jUqKdxdgc/edit" TargetMode="External" Id="rId16"/><Relationship Type="http://schemas.openxmlformats.org/officeDocument/2006/relationships/hyperlink" Target="https://docs.google.com/document/d/1yL7qrXKb5f-Je-S_bWLqIrocgb9PJj54i3jUqKdxdgc/edit" TargetMode="External" Id="rId17"/><Relationship Type="http://schemas.openxmlformats.org/officeDocument/2006/relationships/hyperlink" Target="https://docs.google.com/document/d/1yL7qrXKb5f-Je-S_bWLqIrocgb9PJj54i3jUqKdxdgc/edit" TargetMode="External" Id="rId18"/><Relationship Type="http://schemas.openxmlformats.org/officeDocument/2006/relationships/hyperlink" Target="https://docs.google.com/document/d/1yL7qrXKb5f-Je-S_bWLqIrocgb9PJj54i3jUqKdxdgc/edit" TargetMode="External" Id="rId19"/><Relationship Type="http://schemas.openxmlformats.org/officeDocument/2006/relationships/hyperlink" Target="https://docs.google.com/document/d/1yL7qrXKb5f-Je-S_bWLqIrocgb9PJj54i3jUqKdxdgc/edit" TargetMode="External" Id="rId20"/><Relationship Type="http://schemas.openxmlformats.org/officeDocument/2006/relationships/hyperlink" Target="https://docs.google.com/document/d/1yL7qrXKb5f-Je-S_bWLqIrocgb9PJj54i3jUqKdxdgc/edit" TargetMode="External" Id="rId21"/><Relationship Type="http://schemas.openxmlformats.org/officeDocument/2006/relationships/hyperlink" Target="https://docs.google.com/document/d/1yL7qrXKb5f-Je-S_bWLqIrocgb9PJj54i3jUqKdxdgc/edit" TargetMode="External" Id="rId22"/><Relationship Type="http://schemas.openxmlformats.org/officeDocument/2006/relationships/hyperlink" Target="https://docs.google.com/document/d/1yL7qrXKb5f-Je-S_bWLqIrocgb9PJj54i3jUqKdxdgc/edit" TargetMode="External" Id="rId23"/><Relationship Type="http://schemas.openxmlformats.org/officeDocument/2006/relationships/hyperlink" Target="https://docs.google.com/document/d/1yL7qrXKb5f-Je-S_bWLqIrocgb9PJj54i3jUqKdxdgc/edit" TargetMode="External" Id="rId2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16" customWidth="1" min="3" max="3"/>
    <col width="30" customWidth="1" min="4" max="4"/>
    <col width="40" customWidth="1" min="5" max="5"/>
    <col width="14" customWidth="1" min="6" max="6"/>
    <col width="16" customWidth="1" min="7" max="7"/>
    <col width="13" customWidth="1" min="8" max="8"/>
    <col width="9" customWidth="1" min="9" max="9"/>
    <col width="30" customWidth="1" min="10" max="10"/>
    <col width="38" customWidth="1" min="11" max="11"/>
    <col width="52" customWidth="1" min="12" max="12"/>
    <col width="9" customWidth="1" min="13" max="13"/>
    <col width="9" customWidth="1" min="14" max="14"/>
    <col width="14" customWidth="1" min="15" max="15"/>
    <col width="7" customWidth="1" min="16" max="16"/>
    <col width="11" customWidth="1" min="17" max="17"/>
    <col width="38" customWidth="1" min="18" max="18"/>
    <col width="48" customWidth="1" min="19" max="19"/>
    <col width="60" customWidth="1" min="20" max="20"/>
    <col width="44" customWidth="1" min="21" max="21"/>
  </cols>
  <sheetData>
    <row r="1" ht="32" customHeight="1">
      <c r="A1" s="1" t="inlineStr">
        <is>
          <t>#</t>
        </is>
      </c>
      <c r="B1" s="1" t="inlineStr">
        <is>
          <t>URL path</t>
        </is>
      </c>
      <c r="C1" s="1" t="inlineStr">
        <is>
          <t>Review doc</t>
        </is>
      </c>
      <c r="D1" s="1" t="inlineStr">
        <is>
          <t>Find in doc</t>
        </is>
      </c>
      <c r="E1" s="1" t="inlineStr">
        <is>
          <t>Full URL</t>
        </is>
      </c>
      <c r="F1" s="1" t="inlineStr">
        <is>
          <t>Page type</t>
        </is>
      </c>
      <c r="G1" s="1" t="inlineStr">
        <is>
          <t>Section</t>
        </is>
      </c>
      <c r="H1" s="1" t="inlineStr">
        <is>
          <t>Status</t>
        </is>
      </c>
      <c r="I1" s="1" t="inlineStr">
        <is>
          <t>Priority</t>
        </is>
      </c>
      <c r="J1" s="1" t="inlineStr">
        <is>
          <t>H1</t>
        </is>
      </c>
      <c r="K1" s="1" t="inlineStr">
        <is>
          <t>Meta title</t>
        </is>
      </c>
      <c r="L1" s="1" t="inlineStr">
        <is>
          <t>Meta description</t>
        </is>
      </c>
      <c r="M1" s="1" t="inlineStr">
        <is>
          <t>Desc length</t>
        </is>
      </c>
      <c r="N1" s="1" t="inlineStr">
        <is>
          <t>Desc OK</t>
        </is>
      </c>
      <c r="O1" s="1" t="inlineStr">
        <is>
          <t>Indexable</t>
        </is>
      </c>
      <c r="P1" s="1" t="inlineStr">
        <is>
          <t>FAQs</t>
        </is>
      </c>
      <c r="Q1" s="1" t="inlineStr">
        <is>
          <t>Placeholder images</t>
        </is>
      </c>
      <c r="R1" s="1" t="inlineStr">
        <is>
          <t>Photos</t>
        </is>
      </c>
      <c r="S1" s="1" t="inlineStr">
        <is>
          <t>Target queries (data)</t>
        </is>
      </c>
      <c r="T1" s="1" t="inlineStr">
        <is>
          <t>To-do</t>
        </is>
      </c>
      <c r="U1" s="1" t="inlineStr">
        <is>
          <t>Open questions</t>
        </is>
      </c>
    </row>
    <row r="2">
      <c r="A2" s="2" t="n">
        <v>1</v>
      </c>
      <c r="B2" s="3" t="inlineStr">
        <is>
          <t>/</t>
        </is>
      </c>
      <c r="C2" s="4" t="inlineStr">
        <is>
          <t>Open in doc</t>
        </is>
      </c>
      <c r="D2" s="2" t="inlineStr">
        <is>
          <t>01 · Home (/)</t>
        </is>
      </c>
      <c r="E2" s="2">
        <f>Settings!$B$1&amp;B2</f>
        <v/>
      </c>
      <c r="F2" s="2" t="inlineStr">
        <is>
          <t>Home</t>
        </is>
      </c>
      <c r="G2" s="2" t="inlineStr">
        <is>
          <t>Home</t>
        </is>
      </c>
      <c r="H2" s="2" t="inlineStr">
        <is>
          <t>Needs work</t>
        </is>
      </c>
      <c r="I2" s="2" t="inlineStr">
        <is>
          <t>High</t>
        </is>
      </c>
      <c r="J2" s="2" t="inlineStr">
        <is>
          <t>Brows on Point</t>
        </is>
      </c>
      <c r="K2" s="2" t="inlineStr">
        <is>
          <t>Brows on Point | Brows, Lashes &amp; Permanent Makeup in Kelowna</t>
        </is>
      </c>
      <c r="L2" s="2" t="inlineStr">
        <is>
          <t>Brows on Point is a West Kelowna studio serving Kelowna for brow tinting, lash lifts, microblading, powder brows, permanent makeup and teeth whitening.</t>
        </is>
      </c>
      <c r="M2" s="2">
        <f>LEN(L2)</f>
        <v/>
      </c>
      <c r="N2" s="2">
        <f>IF(L2="","n/a",IF(AND(M2&gt;=Settings!$B$2,M2&lt;=Settings!$B$3),"OK","Check"))</f>
        <v/>
      </c>
      <c r="O2" s="2" t="inlineStr">
        <is>
          <t>After launch gate</t>
        </is>
      </c>
      <c r="P2" s="2" t="n">
        <v>5</v>
      </c>
      <c r="Q2" s="2" t="n">
        <v>0</v>
      </c>
      <c r="R2" s="2" t="inlineStr">
        <is>
          <t>Hero photo + 3 service sections with photos. Hero image alt text is empty.</t>
        </is>
      </c>
      <c r="S2" s="2" t="inlineStr">
        <is>
          <t>brows near me (#10), brow tint near me (#8), microblading kelowna (#7-9), lash lift kelowna (#8), permanent makeup kelowna (#7). Brand: brows on point kelowna (44% CTR).</t>
        </is>
      </c>
      <c r="T2" s="2" t="inlineStr">
        <is>
          <t>Protect the topics that rank today (homepage carries 99% of old clicks). Page-level noindex must come off at launch. Give hero image descriptive alt text.</t>
        </is>
      </c>
      <c r="U2" s="2" t="inlineStr">
        <is>
          <t>Which sections of the old homepage should be kept word-for-word?</t>
        </is>
      </c>
    </row>
    <row r="3">
      <c r="A3" s="2" t="n">
        <v>2</v>
      </c>
      <c r="B3" s="3" t="inlineStr">
        <is>
          <t>/about</t>
        </is>
      </c>
      <c r="C3" s="4" t="inlineStr">
        <is>
          <t>Open in doc</t>
        </is>
      </c>
      <c r="D3" s="2" t="inlineStr">
        <is>
          <t>02 · About (/about)</t>
        </is>
      </c>
      <c r="E3" s="2">
        <f>Settings!$B$1&amp;B3</f>
        <v/>
      </c>
      <c r="F3" s="2" t="inlineStr">
        <is>
          <t>Info</t>
        </is>
      </c>
      <c r="G3" s="2" t="inlineStr">
        <is>
          <t>Company</t>
        </is>
      </c>
      <c r="H3" s="2" t="inlineStr">
        <is>
          <t>Needs work</t>
        </is>
      </c>
      <c r="I3" s="2" t="inlineStr">
        <is>
          <t>Medium</t>
        </is>
      </c>
      <c r="J3" s="2" t="inlineStr">
        <is>
          <t>About Brows on Point</t>
        </is>
      </c>
      <c r="K3" s="2" t="inlineStr">
        <is>
          <t>About Jamie &amp; Brows on Point | Brows on Point</t>
        </is>
      </c>
      <c r="L3" s="2" t="inlineStr">
        <is>
          <t>Learn about Brows on Point, a West Kelowna beauty studio specializing in lash lifts, brow enhancements, and permanent makeup since 2016.</t>
        </is>
      </c>
      <c r="M3" s="2">
        <f>LEN(L3)</f>
        <v/>
      </c>
      <c r="N3" s="2">
        <f>IF(L3="","n/a",IF(AND(M3&gt;=Settings!$B$2,M3&lt;=Settings!$B$3),"OK","Check"))</f>
        <v/>
      </c>
      <c r="O3" s="2" t="inlineStr">
        <is>
          <t>After launch gate</t>
        </is>
      </c>
      <c r="P3" s="2" t="n">
        <v>0</v>
      </c>
      <c r="Q3" s="2" t="n">
        <v>0</v>
      </c>
      <c r="R3" s="2" t="inlineStr">
        <is>
          <t>4 images (Jamie photos, portrait + working). All present.</t>
        </is>
      </c>
      <c r="S3" s="2" t="inlineStr">
        <is>
          <t>about / about-4 had ~1,100 impressions each at position 27-29 on the old site (now 301 to /about).</t>
        </is>
      </c>
      <c r="T3" s="2" t="inlineStr">
        <is>
          <t>Page-level noindex must come off at launch. Meta description is under 150 characters (136). Old /about-1 to /about-4 redirect here.</t>
        </is>
      </c>
      <c r="U3" s="2" t="inlineStr">
        <is>
          <t>Confirm certification list and "since 2016" claim are current.</t>
        </is>
      </c>
    </row>
    <row r="4">
      <c r="A4" s="2" t="n">
        <v>3</v>
      </c>
      <c r="B4" s="3" t="inlineStr">
        <is>
          <t>/services</t>
        </is>
      </c>
      <c r="C4" s="4" t="inlineStr">
        <is>
          <t>Open in doc</t>
        </is>
      </c>
      <c r="D4" s="2" t="inlineStr">
        <is>
          <t>03 · All Services (/services)</t>
        </is>
      </c>
      <c r="E4" s="2">
        <f>Settings!$B$1&amp;B4</f>
        <v/>
      </c>
      <c r="F4" s="2" t="inlineStr">
        <is>
          <t>Hub</t>
        </is>
      </c>
      <c r="G4" s="2" t="inlineStr">
        <is>
          <t>Services</t>
        </is>
      </c>
      <c r="H4" s="2" t="inlineStr">
        <is>
          <t>Needs work</t>
        </is>
      </c>
      <c r="I4" s="2" t="inlineStr">
        <is>
          <t>High</t>
        </is>
      </c>
      <c r="J4" s="2" t="inlineStr">
        <is>
          <t>My Services</t>
        </is>
      </c>
      <c r="K4" s="2" t="inlineStr">
        <is>
          <t>All Services in Kelowna | Brows on Point</t>
        </is>
      </c>
      <c r="L4" s="2" t="inlineStr">
        <is>
          <t>Explore all services at Brows on Point in West Kelowna: lash lifts, brow tinting, permanent makeup, teeth whitening and more for Kelowna clients. Book online.</t>
        </is>
      </c>
      <c r="M4" s="2">
        <f>LEN(L4)</f>
        <v/>
      </c>
      <c r="N4" s="2">
        <f>IF(L4="","n/a",IF(AND(M4&gt;=Settings!$B$2,M4&lt;=Settings!$B$3),"OK","Check"))</f>
        <v/>
      </c>
      <c r="O4" s="2" t="inlineStr">
        <is>
          <t>After launch gate</t>
        </is>
      </c>
      <c r="P4" s="2" t="n">
        <v>0</v>
      </c>
      <c r="Q4" s="2" t="n">
        <v>1</v>
      </c>
      <c r="R4" s="2" t="inlineStr">
        <is>
          <t>Card images present for 4 of 5 categories. Skin Tightening card is a placeholder.</t>
        </is>
      </c>
      <c r="S4" s="2" t="inlineStr">
        <is>
          <t>/services had 2,777 impressions, 21 clicks on the old site (kept, not redirected).</t>
        </is>
      </c>
      <c r="T4" s="2" t="inlineStr">
        <is>
          <t>Page-level noindex must come off at launch. Add a photo for the Skin Tightening card. Old /gallery redirects here.</t>
        </is>
      </c>
      <c r="U4" s="2" t="inlineStr">
        <is>
          <t>Is a dedicated gallery page wanted later (old /gallery had 43 impressions)?</t>
        </is>
      </c>
    </row>
    <row r="5">
      <c r="A5" s="2" t="n">
        <v>4</v>
      </c>
      <c r="B5" s="3" t="inlineStr">
        <is>
          <t>/contact</t>
        </is>
      </c>
      <c r="C5" s="4" t="inlineStr">
        <is>
          <t>Open in doc</t>
        </is>
      </c>
      <c r="D5" s="2" t="inlineStr">
        <is>
          <t>04 · Contact (/contact)</t>
        </is>
      </c>
      <c r="E5" s="2">
        <f>Settings!$B$1&amp;B5</f>
        <v/>
      </c>
      <c r="F5" s="2" t="inlineStr">
        <is>
          <t>Info</t>
        </is>
      </c>
      <c r="G5" s="2" t="inlineStr">
        <is>
          <t>Company</t>
        </is>
      </c>
      <c r="H5" s="2" t="inlineStr">
        <is>
          <t>Ready</t>
        </is>
      </c>
      <c r="I5" s="2" t="inlineStr">
        <is>
          <t>Low</t>
        </is>
      </c>
      <c r="J5" s="2" t="inlineStr">
        <is>
          <t>Contact Brows on Point</t>
        </is>
      </c>
      <c r="K5" s="2" t="inlineStr">
        <is>
          <t>Contact Me | Brows on Point</t>
        </is>
      </c>
      <c r="L5" s="2" t="inlineStr">
        <is>
          <t>Contact Brows on Point in West Kelowna to book an appointment or ask a question about my lash, brow, permanent makeup, and teeth whitening services.</t>
        </is>
      </c>
      <c r="M5" s="2">
        <f>LEN(L5)</f>
        <v/>
      </c>
      <c r="N5" s="2">
        <f>IF(L5="","n/a",IF(AND(M5&gt;=Settings!$B$2,M5&lt;=Settings!$B$3),"OK","Check"))</f>
        <v/>
      </c>
      <c r="O5" s="2" t="inlineStr">
        <is>
          <t>After launch gate</t>
        </is>
      </c>
      <c r="P5" s="2" t="n">
        <v>0</v>
      </c>
      <c r="Q5" s="2" t="n">
        <v>0</v>
      </c>
      <c r="R5" s="2" t="inlineStr">
        <is>
          <t>2 images (logo, map). Present.</t>
        </is>
      </c>
      <c r="S5" s="2" t="inlineStr"/>
      <c r="T5" s="2" t="inlineStr">
        <is>
          <t>Meta description is under 150 characters (148). Confirm hours, phone, email match Fresha/Birdeye/ProfileCanada listings.</t>
        </is>
      </c>
      <c r="U5" s="2" t="inlineStr">
        <is>
          <t>Confirm current hours and phone.</t>
        </is>
      </c>
    </row>
    <row r="6">
      <c r="A6" s="2" t="n">
        <v>5</v>
      </c>
      <c r="B6" s="3" t="inlineStr">
        <is>
          <t>/training</t>
        </is>
      </c>
      <c r="C6" s="4" t="inlineStr">
        <is>
          <t>Open in doc</t>
        </is>
      </c>
      <c r="D6" s="2" t="inlineStr">
        <is>
          <t>05 · Training (/training)</t>
        </is>
      </c>
      <c r="E6" s="2">
        <f>Settings!$B$1&amp;B6</f>
        <v/>
      </c>
      <c r="F6" s="2" t="inlineStr">
        <is>
          <t>Info</t>
        </is>
      </c>
      <c r="G6" s="2" t="inlineStr">
        <is>
          <t>Company</t>
        </is>
      </c>
      <c r="H6" s="2" t="inlineStr">
        <is>
          <t>Needs work</t>
        </is>
      </c>
      <c r="I6" s="2" t="inlineStr">
        <is>
          <t>Low</t>
        </is>
      </c>
      <c r="J6" s="2" t="inlineStr">
        <is>
          <t>Lash Lift &amp; Teeth Whitening Training</t>
        </is>
      </c>
      <c r="K6" s="2" t="inlineStr">
        <is>
          <t>Lash Lift &amp; Teeth Whitening Training | Brows on Point</t>
        </is>
      </c>
      <c r="L6" s="2" t="inlineStr">
        <is>
          <t>Train with Brows on Point in West Kelowna. Hands-on lash lift and teeth whitening training courses for aspiring beauty professionals.</t>
        </is>
      </c>
      <c r="M6" s="2">
        <f>LEN(L6)</f>
        <v/>
      </c>
      <c r="N6" s="2">
        <f>IF(L6="","n/a",IF(AND(M6&gt;=Settings!$B$2,M6&lt;=Settings!$B$3),"OK","Check"))</f>
        <v/>
      </c>
      <c r="O6" s="2" t="inlineStr">
        <is>
          <t>After launch gate</t>
        </is>
      </c>
      <c r="P6" s="2" t="n">
        <v>0</v>
      </c>
      <c r="Q6" s="2" t="n">
        <v>0</v>
      </c>
      <c r="R6" s="2" t="inlineStr">
        <is>
          <t>2 images. Present.</t>
        </is>
      </c>
      <c r="S6" s="2" t="inlineStr">
        <is>
          <t>microblading course (200 CA) / microblading training near me (100) are Ink &amp; Arch queries.</t>
        </is>
      </c>
      <c r="T6" s="2" t="inlineStr">
        <is>
          <t>Meta description is short (133). Title mentions lash lift and teeth whitening only.</t>
        </is>
      </c>
      <c r="U6" s="2" t="inlineStr">
        <is>
          <t>Does Jamie train microblading or other PMU? If yes, add it and target those queries.</t>
        </is>
      </c>
    </row>
    <row r="7">
      <c r="A7" s="2" t="n">
        <v>6</v>
      </c>
      <c r="B7" s="3" t="inlineStr">
        <is>
          <t>/blog</t>
        </is>
      </c>
      <c r="C7" s="4" t="inlineStr">
        <is>
          <t>Open in doc</t>
        </is>
      </c>
      <c r="D7" s="2" t="inlineStr">
        <is>
          <t>06 · Blog index (/blog)</t>
        </is>
      </c>
      <c r="E7" s="2">
        <f>Settings!$B$1&amp;B7</f>
        <v/>
      </c>
      <c r="F7" s="2" t="inlineStr">
        <is>
          <t>Blog index</t>
        </is>
      </c>
      <c r="G7" s="2" t="inlineStr">
        <is>
          <t>Blog</t>
        </is>
      </c>
      <c r="H7" s="2" t="inlineStr">
        <is>
          <t>Needs work</t>
        </is>
      </c>
      <c r="I7" s="2" t="inlineStr">
        <is>
          <t>Medium</t>
        </is>
      </c>
      <c r="J7" s="2" t="inlineStr">
        <is>
          <t>Blog</t>
        </is>
      </c>
      <c r="K7" s="2" t="inlineStr">
        <is>
          <t>Blog | Brows on Point</t>
        </is>
      </c>
      <c r="L7" s="2" t="inlineStr">
        <is>
          <t>Lash, brow, and skin care tips from Brows on Point in West Kelowna — aftercare advice, treatment comparisons, and answers to what clients ask most.</t>
        </is>
      </c>
      <c r="M7" s="2">
        <f>LEN(L7)</f>
        <v/>
      </c>
      <c r="N7" s="2">
        <f>IF(L7="","n/a",IF(AND(M7&gt;=Settings!$B$2,M7&lt;=Settings!$B$3),"OK","Check"))</f>
        <v/>
      </c>
      <c r="O7" s="2" t="inlineStr">
        <is>
          <t>After launch gate</t>
        </is>
      </c>
      <c r="P7" s="2" t="n">
        <v>0</v>
      </c>
      <c r="Q7" s="2" t="n">
        <v>1</v>
      </c>
      <c r="R7" s="2" t="inlineStr">
        <is>
          <t>No cover images for either post (placeholder cards).</t>
        </is>
      </c>
      <c r="S7" s="2" t="inlineStr"/>
      <c r="T7" s="2" t="inlineStr">
        <is>
          <t>Add cover images at /public/blog/&lt;slug&gt;.jpg. Meta description is under 150 (147).</t>
        </is>
      </c>
      <c r="U7" s="2" t="inlineStr">
        <is>
          <t>Is a blog category structure wanted beyond Lashes / Permanent Makeup?</t>
        </is>
      </c>
    </row>
    <row r="8">
      <c r="A8" s="2" t="n">
        <v>7</v>
      </c>
      <c r="B8" s="3" t="inlineStr">
        <is>
          <t>/blog/lash-lift-aftercare-tips</t>
        </is>
      </c>
      <c r="C8" s="4" t="inlineStr">
        <is>
          <t>Open in doc</t>
        </is>
      </c>
      <c r="D8" s="2" t="inlineStr">
        <is>
          <t>07 · Blog: Lash lift aftercare (/blog/lash-lift-aftercare-tips)</t>
        </is>
      </c>
      <c r="E8" s="2">
        <f>Settings!$B$1&amp;B8</f>
        <v/>
      </c>
      <c r="F8" s="2" t="inlineStr">
        <is>
          <t>Blog post</t>
        </is>
      </c>
      <c r="G8" s="2" t="inlineStr">
        <is>
          <t>Blog</t>
        </is>
      </c>
      <c r="H8" s="2" t="inlineStr">
        <is>
          <t>Needs work</t>
        </is>
      </c>
      <c r="I8" s="2" t="inlineStr">
        <is>
          <t>Medium</t>
        </is>
      </c>
      <c r="J8" s="2" t="inlineStr">
        <is>
          <t>How to Make Your Lash Lift and Tint Last Longer</t>
        </is>
      </c>
      <c r="K8" s="2" t="inlineStr">
        <is>
          <t>How to Make Your Lash Lift and Tint Last Longer | Brows on Point</t>
        </is>
      </c>
      <c r="L8" s="2" t="inlineStr">
        <is>
          <t>The first 48 hours after a lash lift and tint matter most. Here are the aftercare habits that help your lift and tint last the full 6-12 weeks.</t>
        </is>
      </c>
      <c r="M8" s="2">
        <f>LEN(L8)</f>
        <v/>
      </c>
      <c r="N8" s="2">
        <f>IF(L8="","n/a",IF(AND(M8&gt;=Settings!$B$2,M8&lt;=Settings!$B$3),"OK","Check"))</f>
        <v/>
      </c>
      <c r="O8" s="2" t="inlineStr">
        <is>
          <t>After launch gate</t>
        </is>
      </c>
      <c r="P8" s="2" t="n">
        <v>2</v>
      </c>
      <c r="Q8" s="2" t="n">
        <v>0</v>
      </c>
      <c r="R8" s="2" t="inlineStr">
        <is>
          <t>No cover image. OG image exists.</t>
        </is>
      </c>
      <c r="S8" s="2" t="inlineStr">
        <is>
          <t>lash lift aftercare (350 CA, KD 0)</t>
        </is>
      </c>
      <c r="T8" s="2" t="inlineStr">
        <is>
          <t>Add cover image. Meta description is under 150 (143). Strengthen to target "lash lift aftercare" fully (350 CA, 5,100 global). FAQs were reworded to differ from the service page.</t>
        </is>
      </c>
      <c r="U8" s="2" t="inlineStr">
        <is>
          <t>Jamie to review aftercare wording.</t>
        </is>
      </c>
    </row>
    <row r="9">
      <c r="A9" s="2" t="n">
        <v>8</v>
      </c>
      <c r="B9" s="3" t="inlineStr">
        <is>
          <t>/blog/what-is-microblading</t>
        </is>
      </c>
      <c r="C9" s="4" t="inlineStr">
        <is>
          <t>Open in doc</t>
        </is>
      </c>
      <c r="D9" s="2" t="inlineStr">
        <is>
          <t>08 · Blog: What is microblading (/blog/what-is-microblading)</t>
        </is>
      </c>
      <c r="E9" s="2">
        <f>Settings!$B$1&amp;B9</f>
        <v/>
      </c>
      <c r="F9" s="2" t="inlineStr">
        <is>
          <t>Blog post (pillar)</t>
        </is>
      </c>
      <c r="G9" s="2" t="inlineStr">
        <is>
          <t>Blog</t>
        </is>
      </c>
      <c r="H9" s="2" t="inlineStr">
        <is>
          <t>Draft</t>
        </is>
      </c>
      <c r="I9" s="2" t="inlineStr">
        <is>
          <t>High</t>
        </is>
      </c>
      <c r="J9" s="2" t="inlineStr">
        <is>
          <t>What Is Microblading? A Complete Guide</t>
        </is>
      </c>
      <c r="K9" s="2" t="inlineStr">
        <is>
          <t>What Is Microblading? A Complete Guide | Brows on Point</t>
        </is>
      </c>
      <c r="L9" s="2" t="inlineStr">
        <is>
          <t>What microblading is, how an appointment works, what healing looks like, how long it lasts and what it costs. A clear guide from Brows on Point in Kelowna.</t>
        </is>
      </c>
      <c r="M9" s="2">
        <f>LEN(L9)</f>
        <v/>
      </c>
      <c r="N9" s="2">
        <f>IF(L9="","n/a",IF(AND(M9&gt;=Settings!$B$2,M9&lt;=Settings!$B$3),"OK","Check"))</f>
        <v/>
      </c>
      <c r="O9" s="2" t="inlineStr">
        <is>
          <t>After launch gate</t>
        </is>
      </c>
      <c r="P9" s="2" t="n">
        <v>5</v>
      </c>
      <c r="Q9" s="2" t="n">
        <v>0</v>
      </c>
      <c r="R9" s="2" t="inlineStr">
        <is>
          <t>No cover image. No OG image (falls back to site default).</t>
        </is>
      </c>
      <c r="S9" s="2" t="inlineStr">
        <is>
          <t>what is microblading, microblading healing (30 CA), microblading cost</t>
        </is>
      </c>
      <c r="T9" s="2" t="inlineStr">
        <is>
          <t>DRAFT: Jamie must review health and healing wording before launch. Add cover image and a 1200x630 OG image. About 1,400 words; plan called for 1,800+. Link to it from the microblading and permanent makeup pages ("Learn more").</t>
        </is>
      </c>
      <c r="U9" s="2" t="inlineStr">
        <is>
          <t>Jamie review. Add more depth to reach pillar length?</t>
        </is>
      </c>
    </row>
    <row r="10">
      <c r="A10" s="2" t="n">
        <v>9</v>
      </c>
      <c r="B10" s="3" t="inlineStr">
        <is>
          <t>/brows</t>
        </is>
      </c>
      <c r="C10" s="4" t="inlineStr">
        <is>
          <t>Open in doc</t>
        </is>
      </c>
      <c r="D10" s="2" t="inlineStr">
        <is>
          <t>09 · Brows hub (/brows)</t>
        </is>
      </c>
      <c r="E10" s="2">
        <f>Settings!$B$1&amp;B10</f>
        <v/>
      </c>
      <c r="F10" s="2" t="inlineStr">
        <is>
          <t>Hub</t>
        </is>
      </c>
      <c r="G10" s="2" t="inlineStr">
        <is>
          <t>Brows</t>
        </is>
      </c>
      <c r="H10" s="2" t="inlineStr">
        <is>
          <t>Ready</t>
        </is>
      </c>
      <c r="I10" s="2" t="inlineStr">
        <is>
          <t>Medium</t>
        </is>
      </c>
      <c r="J10" s="2" t="inlineStr">
        <is>
          <t>Eyebrow Services in Kelowna</t>
        </is>
      </c>
      <c r="K10" s="2" t="inlineStr">
        <is>
          <t>Eyebrow Services in Kelowna | Brows on Point</t>
        </is>
      </c>
      <c r="L10" s="2" t="inlineStr">
        <is>
          <t>Eyebrow services in Kelowna: brow tinting, hot-wax shaping, microblading and powder brows. Brows on Point is a brow bar in West Kelowna. Book online today.</t>
        </is>
      </c>
      <c r="M10" s="2">
        <f>LEN(L10)</f>
        <v/>
      </c>
      <c r="N10" s="2">
        <f>IF(L10="","n/a",IF(AND(M10&gt;=Settings!$B$2,M10&lt;=Settings!$B$3),"OK","Check"))</f>
        <v/>
      </c>
      <c r="O10" s="2" t="inlineStr">
        <is>
          <t>After launch gate</t>
        </is>
      </c>
      <c r="P10" s="2" t="n">
        <v>2</v>
      </c>
      <c r="Q10" s="2" t="n">
        <v>0</v>
      </c>
      <c r="R10" s="2" t="inlineStr">
        <is>
          <t>5 images present (card photos). Brow Tint &amp; Shape card uses the single closeup.</t>
        </is>
      </c>
      <c r="S10" s="2" t="inlineStr">
        <is>
          <t>eyebrows kelowna (1,196 impr, pos 11.8), eyebrow services kelowna (586, pos 4.7), brow bar kelowna (841)</t>
        </is>
      </c>
      <c r="T10" s="2" t="inlineStr">
        <is>
          <t>Exact-phrase sections added. No further content needed beyond links to future brow blog posts.</t>
        </is>
      </c>
      <c r="U10" s="2" t="inlineStr">
        <is>
          <t>Is she comfortable calling the studio a "brow bar"?</t>
        </is>
      </c>
    </row>
    <row r="11">
      <c r="A11" s="2" t="n">
        <v>10</v>
      </c>
      <c r="B11" s="3" t="inlineStr">
        <is>
          <t>/brows/brow-tint-and-shape</t>
        </is>
      </c>
      <c r="C11" s="4" t="inlineStr">
        <is>
          <t>Open in doc</t>
        </is>
      </c>
      <c r="D11" s="2" t="inlineStr">
        <is>
          <t>10 · Eyebrow Tinting &amp; Shaping (/brows/brow-tint-and-shape)</t>
        </is>
      </c>
      <c r="E11" s="2">
        <f>Settings!$B$1&amp;B11</f>
        <v/>
      </c>
      <c r="F11" s="2" t="inlineStr">
        <is>
          <t>Service</t>
        </is>
      </c>
      <c r="G11" s="2" t="inlineStr">
        <is>
          <t>Brows</t>
        </is>
      </c>
      <c r="H11" s="2" t="inlineStr">
        <is>
          <t>Ready</t>
        </is>
      </c>
      <c r="I11" s="2" t="inlineStr">
        <is>
          <t>High</t>
        </is>
      </c>
      <c r="J11" s="2" t="inlineStr">
        <is>
          <t>Eyebrow Tinting &amp; Shaping</t>
        </is>
      </c>
      <c r="K11" s="2" t="inlineStr">
        <is>
          <t>Eyebrow Tinting &amp; Shaping in Kelowna | Brows on Point</t>
        </is>
      </c>
      <c r="L11" s="2" t="inlineStr">
        <is>
          <t>Eyebrow tinting and shaping in Kelowna for $25. Brow tint and hot-wax shaping in one appointment at Brows on Point in West Kelowna. Book online today.</t>
        </is>
      </c>
      <c r="M11" s="2">
        <f>LEN(L11)</f>
        <v/>
      </c>
      <c r="N11" s="2">
        <f>IF(L11="","n/a",IF(AND(M11&gt;=Settings!$B$2,M11&lt;=Settings!$B$3),"OK","Check"))</f>
        <v/>
      </c>
      <c r="O11" s="2" t="inlineStr">
        <is>
          <t>After launch gate</t>
        </is>
      </c>
      <c r="P11" s="2" t="n">
        <v>9</v>
      </c>
      <c r="Q11" s="2" t="n">
        <v>0</v>
      </c>
      <c r="R11" s="2" t="inlineStr">
        <is>
          <t>1 image (single large photo, no grid). No other photos available.</t>
        </is>
      </c>
      <c r="S11" s="2" t="inlineStr">
        <is>
          <t>brow tinting kelowna (1,077 impr, pos 6.2), eyebrow tinting kelowna (842, pos 3.6), eyebrow shaping kelowna (862, pos 5.1), eyebrow tinting near me</t>
        </is>
      </c>
      <c r="T11" s="2" t="inlineStr">
        <is>
          <t>More photos (before/after tint). Blog posts: brow tint vs henna vs lamination, waxing set (waxing demand: eyebrow waxing near me 2,000, KD 0).</t>
        </is>
      </c>
      <c r="U11" s="2" t="inlineStr">
        <is>
          <t>Confirm the "hot-wax shaping" description (assumed correct). Does she offer brow lamination? (assumed no).</t>
        </is>
      </c>
    </row>
    <row r="12">
      <c r="A12" s="2" t="n">
        <v>11</v>
      </c>
      <c r="B12" s="3" t="inlineStr">
        <is>
          <t>/lashes</t>
        </is>
      </c>
      <c r="C12" s="4" t="inlineStr">
        <is>
          <t>Open in doc</t>
        </is>
      </c>
      <c r="D12" s="2" t="inlineStr">
        <is>
          <t>11 · Lashes hub (/lashes)</t>
        </is>
      </c>
      <c r="E12" s="2">
        <f>Settings!$B$1&amp;B12</f>
        <v/>
      </c>
      <c r="F12" s="2" t="inlineStr">
        <is>
          <t>Hub</t>
        </is>
      </c>
      <c r="G12" s="2" t="inlineStr">
        <is>
          <t>Lashes</t>
        </is>
      </c>
      <c r="H12" s="2" t="inlineStr">
        <is>
          <t>Needs work</t>
        </is>
      </c>
      <c r="I12" s="2" t="inlineStr">
        <is>
          <t>Medium</t>
        </is>
      </c>
      <c r="J12" s="2" t="inlineStr">
        <is>
          <t>Lashes</t>
        </is>
      </c>
      <c r="K12" s="2" t="inlineStr">
        <is>
          <t>Lash Services in Kelowna | Brows on Point</t>
        </is>
      </c>
      <c r="L12" s="2" t="inlineStr">
        <is>
          <t>Lash lift and tint plus lash and brow tinting in Kelowna. Brows on Point is a lash studio in West Kelowna covering every option. Book online with Jamie today.</t>
        </is>
      </c>
      <c r="M12" s="2">
        <f>LEN(L12)</f>
        <v/>
      </c>
      <c r="N12" s="2">
        <f>IF(L12="","n/a",IF(AND(M12&gt;=Settings!$B$2,M12&lt;=Settings!$B$3),"OK","Check"))</f>
        <v/>
      </c>
      <c r="O12" s="2" t="inlineStr">
        <is>
          <t>After launch gate</t>
        </is>
      </c>
      <c r="P12" s="2" t="n">
        <v>2</v>
      </c>
      <c r="Q12" s="2" t="n">
        <v>1</v>
      </c>
      <c r="R12" s="2" t="inlineStr">
        <is>
          <t>3 images. Lash &amp; Brow Tinting card is a placeholder.</t>
        </is>
      </c>
      <c r="S12" s="2" t="inlineStr">
        <is>
          <t>lashes west kelowna (10 clicks), eyelash extensions west kelowna (no service)</t>
        </is>
      </c>
      <c r="T12" s="2" t="inlineStr">
        <is>
          <t>Add photo for Lash &amp; Brow Tinting card. Lash Growth Serum card is commented out (hidden).</t>
        </is>
      </c>
      <c r="U12" s="2" t="inlineStr">
        <is>
          <t>Bring Lash Growth Serum back? Needs a product photo or brand logo.</t>
        </is>
      </c>
    </row>
    <row r="13">
      <c r="A13" s="2" t="n">
        <v>12</v>
      </c>
      <c r="B13" s="3" t="inlineStr">
        <is>
          <t>/lashes/lash-lift-and-tint</t>
        </is>
      </c>
      <c r="C13" s="4" t="inlineStr">
        <is>
          <t>Open in doc</t>
        </is>
      </c>
      <c r="D13" s="2" t="inlineStr">
        <is>
          <t>12 · Lash Lift and Tint (/lashes/lash-lift-and-tint)</t>
        </is>
      </c>
      <c r="E13" s="2">
        <f>Settings!$B$1&amp;B13</f>
        <v/>
      </c>
      <c r="F13" s="2" t="inlineStr">
        <is>
          <t>Service</t>
        </is>
      </c>
      <c r="G13" s="2" t="inlineStr">
        <is>
          <t>Lashes</t>
        </is>
      </c>
      <c r="H13" s="2" t="inlineStr">
        <is>
          <t>Ready</t>
        </is>
      </c>
      <c r="I13" s="2" t="inlineStr">
        <is>
          <t>High</t>
        </is>
      </c>
      <c r="J13" s="2" t="inlineStr">
        <is>
          <t>Lash Lift and Tint</t>
        </is>
      </c>
      <c r="K13" s="2" t="inlineStr">
        <is>
          <t>Lash Lift and Tint in Kelowna | Brows on Point</t>
        </is>
      </c>
      <c r="L13" s="2" t="inlineStr">
        <is>
          <t>Keratin, BOMB or Korean lash lift and tint in Kelowna from $70 at Brows on Point in West Kelowna. Lifted, darker lashes, no extensions. Book online today.</t>
        </is>
      </c>
      <c r="M13" s="2">
        <f>LEN(L13)</f>
        <v/>
      </c>
      <c r="N13" s="2">
        <f>IF(L13="","n/a",IF(AND(M13&gt;=Settings!$B$2,M13&lt;=Settings!$B$3),"OK","Check"))</f>
        <v/>
      </c>
      <c r="O13" s="2" t="inlineStr">
        <is>
          <t>After launch gate</t>
        </is>
      </c>
      <c r="P13" s="2" t="n">
        <v>13</v>
      </c>
      <c r="Q13" s="2" t="n">
        <v>0</v>
      </c>
      <c r="R13" s="2" t="inlineStr">
        <is>
          <t>4 gallery photos (2 BOMB, 2 Keratin) + hero. All present. No Korean lash lift photo.</t>
        </is>
      </c>
      <c r="S13" s="2" t="inlineStr">
        <is>
          <t>lash lift kelowna (1,887 impr, pos 15.2), lash lift and tint kelowna (992), eyelash lift near me (353), lash lifting near me</t>
        </is>
      </c>
      <c r="T13" s="2" t="inlineStr">
        <is>
          <t>Add a Korean lash lift photo. Pillar: What Is a Lash Lift? plus Keratin vs BOMB vs Korean post. Possibly add Korean price.</t>
        </is>
      </c>
      <c r="U13" s="2" t="inlineStr">
        <is>
          <t>Korean lash lift price is "ask at consultation": publish a price?</t>
        </is>
      </c>
    </row>
    <row r="14">
      <c r="A14" s="2" t="n">
        <v>13</v>
      </c>
      <c r="B14" s="3" t="inlineStr">
        <is>
          <t>/lashes/lash-and-brow-tinting</t>
        </is>
      </c>
      <c r="C14" s="4" t="inlineStr">
        <is>
          <t>Open in doc</t>
        </is>
      </c>
      <c r="D14" s="2" t="inlineStr">
        <is>
          <t>13 · Lash &amp; Brow Tinting (/lashes/lash-and-brow-tinting)</t>
        </is>
      </c>
      <c r="E14" s="2">
        <f>Settings!$B$1&amp;B14</f>
        <v/>
      </c>
      <c r="F14" s="2" t="inlineStr">
        <is>
          <t>Service</t>
        </is>
      </c>
      <c r="G14" s="2" t="inlineStr">
        <is>
          <t>Lashes</t>
        </is>
      </c>
      <c r="H14" s="2" t="inlineStr">
        <is>
          <t>Needs photos</t>
        </is>
      </c>
      <c r="I14" s="2" t="inlineStr">
        <is>
          <t>High</t>
        </is>
      </c>
      <c r="J14" s="2" t="inlineStr">
        <is>
          <t>Lash &amp; Brow Tinting</t>
        </is>
      </c>
      <c r="K14" s="2" t="inlineStr">
        <is>
          <t>Lash &amp; Brow Tinting in Kelowna | Brows on Point</t>
        </is>
      </c>
      <c r="L14" s="2" t="inlineStr">
        <is>
          <t>Eyelash and brow tinting in Kelowna from $25 at Brows on Point in West Kelowna. Darker lashes and brows without daily mascara. Book your tint online today.</t>
        </is>
      </c>
      <c r="M14" s="2">
        <f>LEN(L14)</f>
        <v/>
      </c>
      <c r="N14" s="2">
        <f>IF(L14="","n/a",IF(AND(M14&gt;=Settings!$B$2,M14&lt;=Settings!$B$3),"OK","Check"))</f>
        <v/>
      </c>
      <c r="O14" s="2" t="inlineStr">
        <is>
          <t>After launch gate</t>
        </is>
      </c>
      <c r="P14" s="2" t="n">
        <v>7</v>
      </c>
      <c r="Q14" s="2" t="n">
        <v>4</v>
      </c>
      <c r="R14" s="2" t="inlineStr">
        <is>
          <t>0 photos: 4 gallery placeholders + card placeholder.</t>
        </is>
      </c>
      <c r="S14" s="2" t="inlineStr">
        <is>
          <t>lash tint (800 CA, KD 0), lash tinting near me (365 impr), eyelash tinting near me (298)</t>
        </is>
      </c>
      <c r="T14" s="2" t="inlineStr">
        <is>
          <t>Needs 1-4 photos (tint-specific). Candidates in /public/overflow: lashes-lift-after-selfie-01, lashes-lift-bomb-after-01, brows-tint-and-shape closeup. Lash lift photos show tinted lashes but also the lift.</t>
        </is>
      </c>
      <c r="U14" s="2" t="inlineStr">
        <is>
          <t>Which photo(s)? Or wait for tint-specific photos.</t>
        </is>
      </c>
    </row>
    <row r="15">
      <c r="A15" s="2" t="n">
        <v>14</v>
      </c>
      <c r="B15" s="3" t="inlineStr">
        <is>
          <t>/permanent-makeup</t>
        </is>
      </c>
      <c r="C15" s="4" t="inlineStr">
        <is>
          <t>Open in doc</t>
        </is>
      </c>
      <c r="D15" s="2" t="inlineStr">
        <is>
          <t>14 · Permanent Makeup hub (/permanent-makeup)</t>
        </is>
      </c>
      <c r="E15" s="2">
        <f>Settings!$B$1&amp;B15</f>
        <v/>
      </c>
      <c r="F15" s="2" t="inlineStr">
        <is>
          <t>Hub</t>
        </is>
      </c>
      <c r="G15" s="2" t="inlineStr">
        <is>
          <t>Permanent Makeup</t>
        </is>
      </c>
      <c r="H15" s="2" t="inlineStr">
        <is>
          <t>Ready</t>
        </is>
      </c>
      <c r="I15" s="2" t="inlineStr">
        <is>
          <t>High</t>
        </is>
      </c>
      <c r="J15" s="2" t="inlineStr">
        <is>
          <t>Permanent Makeup in Kelowna</t>
        </is>
      </c>
      <c r="K15" s="2" t="inlineStr">
        <is>
          <t>Permanent Makeup in Kelowna | Brows on Point</t>
        </is>
      </c>
      <c r="L15" s="2" t="inlineStr">
        <is>
          <t>Permanent makeup in Kelowna: microblading from $275, powder brows from $300, permanent eyeliner and saline removal at Brows on Point. Book a consult today.</t>
        </is>
      </c>
      <c r="M15" s="2">
        <f>LEN(L15)</f>
        <v/>
      </c>
      <c r="N15" s="2">
        <f>IF(L15="","n/a",IF(AND(M15&gt;=Settings!$B$2,M15&lt;=Settings!$B$3),"OK","Check"))</f>
        <v/>
      </c>
      <c r="O15" s="2" t="inlineStr">
        <is>
          <t>After launch gate</t>
        </is>
      </c>
      <c r="P15" s="2" t="n">
        <v>4</v>
      </c>
      <c r="Q15" s="2" t="n">
        <v>0</v>
      </c>
      <c r="R15" s="2" t="inlineStr">
        <is>
          <t>6 images present.</t>
        </is>
      </c>
      <c r="S15" s="2" t="inlineStr">
        <is>
          <t>permanent makeup kelowna (1,220 impr, pos 14.1), permanent makeup (813, pos 14.4), permanent eyebrows (307, pos 31.4)</t>
        </is>
      </c>
      <c r="T15" s="2" t="inlineStr">
        <is>
          <t>Pillar: What Is Permanent Makeup? to be written. Link to microblading pillar post.</t>
        </is>
      </c>
      <c r="U15" s="2" t="inlineStr">
        <is>
          <t>Add a lip or other PMU service? (assumed no.)</t>
        </is>
      </c>
    </row>
    <row r="16">
      <c r="A16" s="2" t="n">
        <v>15</v>
      </c>
      <c r="B16" s="3" t="inlineStr">
        <is>
          <t>/permanent-makeup/microblading</t>
        </is>
      </c>
      <c r="C16" s="4" t="inlineStr">
        <is>
          <t>Open in doc</t>
        </is>
      </c>
      <c r="D16" s="2" t="inlineStr">
        <is>
          <t>15 · Microblading (/permanent-makeup/microblading)</t>
        </is>
      </c>
      <c r="E16" s="2">
        <f>Settings!$B$1&amp;B16</f>
        <v/>
      </c>
      <c r="F16" s="2" t="inlineStr">
        <is>
          <t>Service</t>
        </is>
      </c>
      <c r="G16" s="2" t="inlineStr">
        <is>
          <t>Permanent Makeup</t>
        </is>
      </c>
      <c r="H16" s="2" t="inlineStr">
        <is>
          <t>Ready</t>
        </is>
      </c>
      <c r="I16" s="2" t="inlineStr">
        <is>
          <t>High</t>
        </is>
      </c>
      <c r="J16" s="2" t="inlineStr">
        <is>
          <t>Microblading</t>
        </is>
      </c>
      <c r="K16" s="2" t="inlineStr">
        <is>
          <t>Microblading in Kelowna | Brows on Point</t>
        </is>
      </c>
      <c r="L16" s="2" t="inlineStr">
        <is>
          <t>Microblading in Kelowna from $275 at Brows on Point in West Kelowna. Natural hair-stroke brows for sparse or over-tweezed eyebrows. Book your appointment.</t>
        </is>
      </c>
      <c r="M16" s="2">
        <f>LEN(L16)</f>
        <v/>
      </c>
      <c r="N16" s="2">
        <f>IF(L16="","n/a",IF(AND(M16&gt;=Settings!$B$2,M16&lt;=Settings!$B$3),"OK","Check"))</f>
        <v/>
      </c>
      <c r="O16" s="2" t="inlineStr">
        <is>
          <t>After launch gate</t>
        </is>
      </c>
      <c r="P16" s="2" t="n">
        <v>11</v>
      </c>
      <c r="Q16" s="2" t="n">
        <v>0</v>
      </c>
      <c r="R16" s="2" t="inlineStr">
        <is>
          <t>4 gallery photos present.</t>
        </is>
      </c>
      <c r="S16" s="2" t="inlineStr">
        <is>
          <t>microblading kelowna (1,689 impr, pos 12.5), kelowna microblading, microblading in kelowna, microblading cost</t>
        </is>
      </c>
      <c r="T16" s="2" t="inlineStr">
        <is>
          <t>Link to "What Is Microblading?" blog pillar. Before/after photos include healed results.</t>
        </is>
      </c>
      <c r="U16" s="2" t="inlineStr">
        <is>
          <t>Check microblading-before-after-04 (black bars) stays in overflow.</t>
        </is>
      </c>
    </row>
    <row r="17">
      <c r="A17" s="2" t="n">
        <v>16</v>
      </c>
      <c r="B17" s="3" t="inlineStr">
        <is>
          <t>/permanent-makeup/powder-brows</t>
        </is>
      </c>
      <c r="C17" s="4" t="inlineStr">
        <is>
          <t>Open in doc</t>
        </is>
      </c>
      <c r="D17" s="2" t="inlineStr">
        <is>
          <t>16 · Powder Brows (/permanent-makeup/powder-brows)</t>
        </is>
      </c>
      <c r="E17" s="2">
        <f>Settings!$B$1&amp;B17</f>
        <v/>
      </c>
      <c r="F17" s="2" t="inlineStr">
        <is>
          <t>Service</t>
        </is>
      </c>
      <c r="G17" s="2" t="inlineStr">
        <is>
          <t>Permanent Makeup</t>
        </is>
      </c>
      <c r="H17" s="2" t="inlineStr">
        <is>
          <t>Ready</t>
        </is>
      </c>
      <c r="I17" s="2" t="inlineStr">
        <is>
          <t>Medium</t>
        </is>
      </c>
      <c r="J17" s="2" t="inlineStr">
        <is>
          <t>Powder Brows</t>
        </is>
      </c>
      <c r="K17" s="2" t="inlineStr">
        <is>
          <t>Powder Brows in Kelowna | Brows on Point</t>
        </is>
      </c>
      <c r="L17" s="2" t="inlineStr">
        <is>
          <t>Powder brows in Kelowna from $300 at Brows on Point in West Kelowna. Soft, filled-in brows that hold their shape. Book your powder brow appointment online.</t>
        </is>
      </c>
      <c r="M17" s="2">
        <f>LEN(L17)</f>
        <v/>
      </c>
      <c r="N17" s="2">
        <f>IF(L17="","n/a",IF(AND(M17&gt;=Settings!$B$2,M17&lt;=Settings!$B$3),"OK","Check"))</f>
        <v/>
      </c>
      <c r="O17" s="2" t="inlineStr">
        <is>
          <t>After launch gate</t>
        </is>
      </c>
      <c r="P17" s="2" t="n">
        <v>8</v>
      </c>
      <c r="Q17" s="2" t="n">
        <v>0</v>
      </c>
      <c r="R17" s="2" t="inlineStr">
        <is>
          <t>4 gallery photos present.</t>
        </is>
      </c>
      <c r="S17" s="2" t="inlineStr">
        <is>
          <t>powder brows near me (440 impr, pos 26), eyebrow powdering near me, powder brows vs microblading (350 CA)</t>
        </is>
      </c>
      <c r="T17" s="2" t="inlineStr">
        <is>
          <t>Write "powder brows vs microblading" post (top informational keyword). Answer for "how long do powder brows last" now says 1-2 years; confirm.</t>
        </is>
      </c>
      <c r="U17" s="2" t="inlineStr">
        <is>
          <t>Confirm powder brows longevity wording.</t>
        </is>
      </c>
    </row>
    <row r="18">
      <c r="A18" s="2" t="n">
        <v>17</v>
      </c>
      <c r="B18" s="3" t="inlineStr">
        <is>
          <t>/permanent-makeup/permanent-eyeliner</t>
        </is>
      </c>
      <c r="C18" s="4" t="inlineStr">
        <is>
          <t>Open in doc</t>
        </is>
      </c>
      <c r="D18" s="2" t="inlineStr">
        <is>
          <t>17 · Permanent Eyeliner (/permanent-makeup/permanent-eyeliner)</t>
        </is>
      </c>
      <c r="E18" s="2">
        <f>Settings!$B$1&amp;B18</f>
        <v/>
      </c>
      <c r="F18" s="2" t="inlineStr">
        <is>
          <t>Service</t>
        </is>
      </c>
      <c r="G18" s="2" t="inlineStr">
        <is>
          <t>Permanent Makeup</t>
        </is>
      </c>
      <c r="H18" s="2" t="inlineStr">
        <is>
          <t>Needs work</t>
        </is>
      </c>
      <c r="I18" s="2" t="inlineStr">
        <is>
          <t>Medium</t>
        </is>
      </c>
      <c r="J18" s="2" t="inlineStr">
        <is>
          <t>Permanent Eyeliner</t>
        </is>
      </c>
      <c r="K18" s="2" t="inlineStr">
        <is>
          <t>Permanent Eyeliner in Kelowna | Brows on Point</t>
        </is>
      </c>
      <c r="L18" s="2" t="inlineStr">
        <is>
          <t>Permanent eyeliner in Kelowna at Brows on Point: subtle lash line enhancement or fully defined top and bottom liner. Prices from $120. Book online today.</t>
        </is>
      </c>
      <c r="M18" s="2">
        <f>LEN(L18)</f>
        <v/>
      </c>
      <c r="N18" s="2">
        <f>IF(L18="","n/a",IF(AND(M18&gt;=Settings!$B$2,M18&lt;=Settings!$B$3),"OK","Check"))</f>
        <v/>
      </c>
      <c r="O18" s="2" t="inlineStr">
        <is>
          <t>After launch gate</t>
        </is>
      </c>
      <c r="P18" s="2" t="n">
        <v>7</v>
      </c>
      <c r="Q18" s="2" t="n">
        <v>0</v>
      </c>
      <c r="R18" s="2" t="inlineStr">
        <is>
          <t>Single large photo (2nd is in overflow). One before/after has a "Simple and sweet" text banner baked into the image.</t>
        </is>
      </c>
      <c r="S18" s="2" t="inlineStr">
        <is>
          <t>permanent eyeliner kelowna (low volume)</t>
        </is>
      </c>
      <c r="T18" s="2" t="inlineStr">
        <is>
          <t>Replace or crop the banner image. Get 2-3 more photos for a gallery. Price options show $199 / $120 / $319.</t>
        </is>
      </c>
      <c r="U18" s="2" t="inlineStr">
        <is>
          <t>Old site listed permanent eyeliner at $230. Current prices assumed correct.</t>
        </is>
      </c>
    </row>
    <row r="19">
      <c r="A19" s="2" t="n">
        <v>18</v>
      </c>
      <c r="B19" s="3" t="inlineStr">
        <is>
          <t>/permanent-makeup/saline-tattoo-removal</t>
        </is>
      </c>
      <c r="C19" s="4" t="inlineStr">
        <is>
          <t>Open in doc</t>
        </is>
      </c>
      <c r="D19" s="2" t="inlineStr">
        <is>
          <t>18 · Saline Tattoo &amp; PMU Removal (/permanent-makeup/saline-tattoo-removal)</t>
        </is>
      </c>
      <c r="E19" s="2">
        <f>Settings!$B$1&amp;B19</f>
        <v/>
      </c>
      <c r="F19" s="2" t="inlineStr">
        <is>
          <t>Service</t>
        </is>
      </c>
      <c r="G19" s="2" t="inlineStr">
        <is>
          <t>Permanent Makeup</t>
        </is>
      </c>
      <c r="H19" s="2" t="inlineStr">
        <is>
          <t>Ready</t>
        </is>
      </c>
      <c r="I19" s="2" t="inlineStr">
        <is>
          <t>Medium</t>
        </is>
      </c>
      <c r="J19" s="2" t="inlineStr">
        <is>
          <t>Saline Tattoo &amp; PMU Removal</t>
        </is>
      </c>
      <c r="K19" s="2" t="inlineStr">
        <is>
          <t>Saline Tattoo &amp; PMU Removal in Kelowna | Brows on Point</t>
        </is>
      </c>
      <c r="L19" s="2" t="inlineStr">
        <is>
          <t>Saline tattoo and eyebrow PMU removal in Kelowna at Brows on Point, a gentle alternative to laser removal. Sessions from $125. Book your consult today.</t>
        </is>
      </c>
      <c r="M19" s="2">
        <f>LEN(L19)</f>
        <v/>
      </c>
      <c r="N19" s="2">
        <f>IF(L19="","n/a",IF(AND(M19&gt;=Settings!$B$2,M19&lt;=Settings!$B$3),"OK","Check"))</f>
        <v/>
      </c>
      <c r="O19" s="2" t="inlineStr">
        <is>
          <t>After launch gate</t>
        </is>
      </c>
      <c r="P19" s="2" t="n">
        <v>8</v>
      </c>
      <c r="Q19" s="2" t="n">
        <v>0</v>
      </c>
      <c r="R19" s="2" t="inlineStr">
        <is>
          <t>Single large photo (2 more in overflow).</t>
        </is>
      </c>
      <c r="S19" s="2" t="inlineStr">
        <is>
          <t>saline tattoo removal (200 CA, 3,400 global, KD 0)</t>
        </is>
      </c>
      <c r="T19" s="2" t="inlineStr">
        <is>
          <t>Pillar: What Is Saline Tattoo Removal? (Phase 1). A fourth, procedure-style photo is in overflow.</t>
        </is>
      </c>
      <c r="U19" s="2" t="inlineStr">
        <is>
          <t>Confirm no laser offered (assumed correct).</t>
        </is>
      </c>
    </row>
    <row r="20">
      <c r="A20" s="2" t="n">
        <v>19</v>
      </c>
      <c r="B20" s="3" t="inlineStr">
        <is>
          <t>/smile</t>
        </is>
      </c>
      <c r="C20" s="4" t="inlineStr">
        <is>
          <t>Open in doc</t>
        </is>
      </c>
      <c r="D20" s="2" t="inlineStr">
        <is>
          <t>19 · Smile hub (/smile)</t>
        </is>
      </c>
      <c r="E20" s="2">
        <f>Settings!$B$1&amp;B20</f>
        <v/>
      </c>
      <c r="F20" s="2" t="inlineStr">
        <is>
          <t>Hub</t>
        </is>
      </c>
      <c r="G20" s="2" t="inlineStr">
        <is>
          <t>Smile</t>
        </is>
      </c>
      <c r="H20" s="2" t="inlineStr">
        <is>
          <t>Ready</t>
        </is>
      </c>
      <c r="I20" s="2" t="inlineStr">
        <is>
          <t>Low</t>
        </is>
      </c>
      <c r="J20" s="2" t="inlineStr">
        <is>
          <t>Smile Services</t>
        </is>
      </c>
      <c r="K20" s="2" t="inlineStr">
        <is>
          <t>Smile Services in Kelowna | Brows on Point</t>
        </is>
      </c>
      <c r="L20" s="2" t="inlineStr">
        <is>
          <t>Teeth whitening and Swarovski tooth gems in Kelowna at Brows on Point in West Kelowna. Explore my smile services and book your appointment online today.</t>
        </is>
      </c>
      <c r="M20" s="2">
        <f>LEN(L20)</f>
        <v/>
      </c>
      <c r="N20" s="2">
        <f>IF(L20="","n/a",IF(AND(M20&gt;=Settings!$B$2,M20&lt;=Settings!$B$3),"OK","Check"))</f>
        <v/>
      </c>
      <c r="O20" s="2" t="inlineStr">
        <is>
          <t>After launch gate</t>
        </is>
      </c>
      <c r="P20" s="2" t="n">
        <v>0</v>
      </c>
      <c r="Q20" s="2" t="n">
        <v>0</v>
      </c>
      <c r="R20" s="2" t="inlineStr">
        <is>
          <t>5 images present. No FAQ block on this hub.</t>
        </is>
      </c>
      <c r="S20" s="2" t="inlineStr"/>
      <c r="T20" s="2" t="inlineStr">
        <is>
          <t>Consider a short FAQ block for the hub.</t>
        </is>
      </c>
      <c r="U20" s="2" t="inlineStr"/>
    </row>
    <row r="21">
      <c r="A21" s="2" t="n">
        <v>20</v>
      </c>
      <c r="B21" s="3" t="inlineStr">
        <is>
          <t>/smile/teeth-whitening</t>
        </is>
      </c>
      <c r="C21" s="4" t="inlineStr">
        <is>
          <t>Open in doc</t>
        </is>
      </c>
      <c r="D21" s="2" t="inlineStr">
        <is>
          <t>20 · Teeth Whitening (/smile/teeth-whitening)</t>
        </is>
      </c>
      <c r="E21" s="2">
        <f>Settings!$B$1&amp;B21</f>
        <v/>
      </c>
      <c r="F21" s="2" t="inlineStr">
        <is>
          <t>Service</t>
        </is>
      </c>
      <c r="G21" s="2" t="inlineStr">
        <is>
          <t>Smile</t>
        </is>
      </c>
      <c r="H21" s="2" t="inlineStr">
        <is>
          <t>Ready</t>
        </is>
      </c>
      <c r="I21" s="2" t="inlineStr">
        <is>
          <t>Medium</t>
        </is>
      </c>
      <c r="J21" s="2" t="inlineStr">
        <is>
          <t>Teeth Whitening</t>
        </is>
      </c>
      <c r="K21" s="2" t="inlineStr">
        <is>
          <t>Teeth Whitening in Kelowna | Brows on Point</t>
        </is>
      </c>
      <c r="L21" s="2" t="inlineStr">
        <is>
          <t>Professional in-studio teeth whitening in Kelowna from $99 at Brows on Point in West Kelowna. Basic, Ultra and 24k gold sessions. Book your whitening today.</t>
        </is>
      </c>
      <c r="M21" s="2">
        <f>LEN(L21)</f>
        <v/>
      </c>
      <c r="N21" s="2">
        <f>IF(L21="","n/a",IF(AND(M21&gt;=Settings!$B$2,M21&lt;=Settings!$B$3),"OK","Check"))</f>
        <v/>
      </c>
      <c r="O21" s="2" t="inlineStr">
        <is>
          <t>After launch gate</t>
        </is>
      </c>
      <c r="P21" s="2" t="n">
        <v>9</v>
      </c>
      <c r="Q21" s="2" t="n">
        <v>0</v>
      </c>
      <c r="R21" s="2" t="inlineStr">
        <is>
          <t>4 gallery photos (Basic and Ultra).</t>
        </is>
      </c>
      <c r="S21" s="2" t="inlineStr">
        <is>
          <t>teeth whitening kelowna (30), teeth whitening for sensitive teeth (50 CA, 1,000 global)</t>
        </is>
      </c>
      <c r="T21" s="2" t="inlineStr">
        <is>
          <t>Pillar: What Is Professional Teeth Whitening? Whitening Basic/Ultra naming in image files is internal.</t>
        </is>
      </c>
      <c r="U21" s="2" t="inlineStr">
        <is>
          <t>Under-18 exclusion now set to 18+ across the site.</t>
        </is>
      </c>
    </row>
    <row r="22">
      <c r="A22" s="2" t="n">
        <v>21</v>
      </c>
      <c r="B22" s="3" t="inlineStr">
        <is>
          <t>/smile/sensitive-teeth-whitening</t>
        </is>
      </c>
      <c r="C22" s="4" t="inlineStr">
        <is>
          <t>Open in doc</t>
        </is>
      </c>
      <c r="D22" s="2" t="inlineStr">
        <is>
          <t>21 · 24K Gold Whitening (Sensitive Teeth) (/smile/sensitive-teeth-whitening)</t>
        </is>
      </c>
      <c r="E22" s="2">
        <f>Settings!$B$1&amp;B22</f>
        <v/>
      </c>
      <c r="F22" s="2" t="inlineStr">
        <is>
          <t>Service</t>
        </is>
      </c>
      <c r="G22" s="2" t="inlineStr">
        <is>
          <t>Smile</t>
        </is>
      </c>
      <c r="H22" s="2" t="inlineStr">
        <is>
          <t>Ready</t>
        </is>
      </c>
      <c r="I22" s="2" t="inlineStr">
        <is>
          <t>Low</t>
        </is>
      </c>
      <c r="J22" s="2" t="inlineStr">
        <is>
          <t>24K Gold Whitening for Sensitive Teeth</t>
        </is>
      </c>
      <c r="K22" s="2" t="inlineStr">
        <is>
          <t>Sensitive Teeth Whitening in Kelowna | Brows on Point</t>
        </is>
      </c>
      <c r="L22" s="2" t="inlineStr">
        <is>
          <t>Sensitive teeth? Brows on Point in West Kelowna offers 24k gold teeth whitening for Kelowna clients with sensitive smiles, $99. Book your appointment today.</t>
        </is>
      </c>
      <c r="M22" s="2">
        <f>LEN(L22)</f>
        <v/>
      </c>
      <c r="N22" s="2">
        <f>IF(L22="","n/a",IF(AND(M22&gt;=Settings!$B$2,M22&lt;=Settings!$B$3),"OK","Check"))</f>
        <v/>
      </c>
      <c r="O22" s="2" t="inlineStr">
        <is>
          <t>After launch gate</t>
        </is>
      </c>
      <c r="P22" s="2" t="n">
        <v>6</v>
      </c>
      <c r="Q22" s="2" t="n">
        <v>0</v>
      </c>
      <c r="R22" s="2" t="inlineStr">
        <is>
          <t>4 gallery photos re-used from whitening photos (no 24K-specific photos).</t>
        </is>
      </c>
      <c r="S22" s="2" t="inlineStr">
        <is>
          <t>teeth whitening for sensitive teeth (50 CA)</t>
        </is>
      </c>
      <c r="T22" s="2" t="inlineStr">
        <is>
          <t>Replace with 24K gold-specific photos if available.</t>
        </is>
      </c>
      <c r="U22" s="2" t="inlineStr">
        <is>
          <t>Is 24K gold whitening the same procedure visually? Confirm re-using photos is fine.</t>
        </is>
      </c>
    </row>
    <row r="23">
      <c r="A23" s="2" t="n">
        <v>22</v>
      </c>
      <c r="B23" s="3" t="inlineStr">
        <is>
          <t>/smile/tooth-gems</t>
        </is>
      </c>
      <c r="C23" s="4" t="inlineStr">
        <is>
          <t>Open in doc</t>
        </is>
      </c>
      <c r="D23" s="2" t="inlineStr">
        <is>
          <t>22 · Tooth Gems (/smile/tooth-gems)</t>
        </is>
      </c>
      <c r="E23" s="2">
        <f>Settings!$B$1&amp;B23</f>
        <v/>
      </c>
      <c r="F23" s="2" t="inlineStr">
        <is>
          <t>Service</t>
        </is>
      </c>
      <c r="G23" s="2" t="inlineStr">
        <is>
          <t>Smile</t>
        </is>
      </c>
      <c r="H23" s="2" t="inlineStr">
        <is>
          <t>Ready</t>
        </is>
      </c>
      <c r="I23" s="2" t="inlineStr">
        <is>
          <t>Medium</t>
        </is>
      </c>
      <c r="J23" s="2" t="inlineStr">
        <is>
          <t>Swarovski Tooth Gems</t>
        </is>
      </c>
      <c r="K23" s="2" t="inlineStr">
        <is>
          <t>Tooth Gems in Kelowna | Brows on Point</t>
        </is>
      </c>
      <c r="L23" s="2" t="inlineStr">
        <is>
          <t>Swarovski tooth gems in Kelowna from $40 at Brows on Point in West Kelowna. Add sparkle with a professionally applied crystal tooth gem. Book online today.</t>
        </is>
      </c>
      <c r="M23" s="2">
        <f>LEN(L23)</f>
        <v/>
      </c>
      <c r="N23" s="2">
        <f>IF(L23="","n/a",IF(AND(M23&gt;=Settings!$B$2,M23&lt;=Settings!$B$3),"OK","Check"))</f>
        <v/>
      </c>
      <c r="O23" s="2" t="inlineStr">
        <is>
          <t>After launch gate</t>
        </is>
      </c>
      <c r="P23" s="2" t="n">
        <v>8</v>
      </c>
      <c r="Q23" s="2" t="n">
        <v>0</v>
      </c>
      <c r="R23" s="2" t="inlineStr">
        <is>
          <t>4 gallery photos present (multi-gem photo first).</t>
        </is>
      </c>
      <c r="S23" s="2" t="inlineStr">
        <is>
          <t>tooth gems kelowna (98 impr, 7 clicks), teeth gems (250 CA, KD 0)</t>
        </is>
      </c>
      <c r="T23" s="2" t="inlineStr">
        <is>
          <t>Pillar: What Is a Tooth Gem? Old site showed gems at $60 (+$20 each); site shows $40 single.</t>
        </is>
      </c>
      <c r="U23" s="2" t="inlineStr">
        <is>
          <t>Confirm gem pricing (assumed $40 is correct).</t>
        </is>
      </c>
    </row>
    <row r="24">
      <c r="A24" s="2" t="n">
        <v>23</v>
      </c>
      <c r="B24" s="3" t="inlineStr">
        <is>
          <t>/skin-tightening</t>
        </is>
      </c>
      <c r="C24" s="4" t="inlineStr">
        <is>
          <t>Open in doc</t>
        </is>
      </c>
      <c r="D24" s="2" t="inlineStr">
        <is>
          <t>23 · Skin Tightening (/skin-tightening)</t>
        </is>
      </c>
      <c r="E24" s="2">
        <f>Settings!$B$1&amp;B24</f>
        <v/>
      </c>
      <c r="F24" s="2" t="inlineStr">
        <is>
          <t>Service</t>
        </is>
      </c>
      <c r="G24" s="2" t="inlineStr">
        <is>
          <t>Skin Tightening</t>
        </is>
      </c>
      <c r="H24" s="2" t="inlineStr">
        <is>
          <t>Needs photos</t>
        </is>
      </c>
      <c r="I24" s="2" t="inlineStr">
        <is>
          <t>Medium</t>
        </is>
      </c>
      <c r="J24" s="2" t="inlineStr">
        <is>
          <t>Skin Tightening Treatment</t>
        </is>
      </c>
      <c r="K24" s="2" t="inlineStr">
        <is>
          <t>Skin Tightening in Kelowna | Brows on Point</t>
        </is>
      </c>
      <c r="L24" s="2" t="inlineStr">
        <is>
          <t>RF skin tightening in Kelowna at Brows on Point in West Kelowna. A non-invasive treatment that firms skin and boosts collagen. Book your appointment today.</t>
        </is>
      </c>
      <c r="M24" s="2">
        <f>LEN(L24)</f>
        <v/>
      </c>
      <c r="N24" s="2">
        <f>IF(L24="","n/a",IF(AND(M24&gt;=Settings!$B$2,M24&lt;=Settings!$B$3),"OK","Check"))</f>
        <v/>
      </c>
      <c r="O24" s="2" t="inlineStr">
        <is>
          <t>After launch gate</t>
        </is>
      </c>
      <c r="P24" s="2" t="n">
        <v>10</v>
      </c>
      <c r="Q24" s="2" t="n">
        <v>4</v>
      </c>
      <c r="R24" s="2" t="inlineStr">
        <is>
          <t>0 photos: 4 gallery placeholders + card placeholder on /services.</t>
        </is>
      </c>
      <c r="S24" s="2" t="inlineStr">
        <is>
          <t>skin tightening treatment (1,700 CA, KD 24, held by a Winnipeg clinic)</t>
        </is>
      </c>
      <c r="T24" s="2" t="inlineStr">
        <is>
          <t>Needs photos. Build out content (competitive opportunity). Pillar: What Is RF Skin Tightening?</t>
        </is>
      </c>
      <c r="U24" s="2" t="inlineStr">
        <is>
          <t>Any before/after photos allowed? Package pricing ($75 single, $175 for 3) assumed correct.</t>
        </is>
      </c>
    </row>
    <row r="25">
      <c r="A25" s="2" t="n">
        <v>24</v>
      </c>
      <c r="B25" s="3" t="inlineStr">
        <is>
          <t>/lashes/lash-growth-serum</t>
        </is>
      </c>
      <c r="C25" s="4" t="inlineStr">
        <is>
          <t>Open in doc</t>
        </is>
      </c>
      <c r="D25" s="2" t="inlineStr">
        <is>
          <t>24 · Lash Growth Serum (hidden) (/lashes/lash-growth-serum)</t>
        </is>
      </c>
      <c r="E25" s="2">
        <f>Settings!$B$1&amp;B25</f>
        <v/>
      </c>
      <c r="F25" s="2" t="inlineStr">
        <is>
          <t>Service (hidden)</t>
        </is>
      </c>
      <c r="G25" s="2" t="inlineStr">
        <is>
          <t>Lashes</t>
        </is>
      </c>
      <c r="H25" s="2" t="inlineStr">
        <is>
          <t>Hidden</t>
        </is>
      </c>
      <c r="I25" s="2" t="inlineStr">
        <is>
          <t>Low</t>
        </is>
      </c>
      <c r="J25" s="2" t="inlineStr"/>
      <c r="K25" s="2" t="inlineStr"/>
      <c r="L25" s="2" t="inlineStr"/>
      <c r="M25" s="2">
        <f>LEN(L25)</f>
        <v/>
      </c>
      <c r="N25" s="2">
        <f>IF(L25="","n/a",IF(AND(M25&gt;=Settings!$B$2,M25&lt;=Settings!$B$3),"OK","Check"))</f>
        <v/>
      </c>
      <c r="O25" s="2" t="inlineStr">
        <is>
          <t>Hidden (404)</t>
        </is>
      </c>
      <c r="P25" s="2" t="n">
        <v>0</v>
      </c>
      <c r="Q25" s="2" t="n">
        <v>0</v>
      </c>
      <c r="R25" s="2" t="inlineStr">
        <is>
          <t>No photos. Returns 404 on purpose.</t>
        </is>
      </c>
      <c r="S25" s="2" t="inlineStr"/>
      <c r="T25" s="2" t="inlineStr">
        <is>
          <t>Commented out everywhere (page moved to _lash-growth-serum, sitemap and hub entry removed). Restore when a product photo or logo exists.</t>
        </is>
      </c>
      <c r="U25" s="2" t="inlineStr">
        <is>
          <t>Does she still sell the serum? Derol was removed from the site, so a different product/brand logo is needed.</t>
        </is>
      </c>
    </row>
    <row r="27">
      <c r="B27" s="5" t="inlineStr">
        <is>
          <t>Pages</t>
        </is>
      </c>
      <c r="C27" s="5">
        <f>COUNTA(B2:B25)</f>
        <v/>
      </c>
    </row>
    <row r="28">
      <c r="B28" s="5" t="inlineStr">
        <is>
          <t>Ready</t>
        </is>
      </c>
      <c r="C28" s="5">
        <f>COUNTIF(H2:H25,"Ready")</f>
        <v/>
      </c>
    </row>
    <row r="29">
      <c r="B29" s="5" t="inlineStr">
        <is>
          <t>Needs work / photos / draft</t>
        </is>
      </c>
      <c r="C29" s="5">
        <f>COUNTIF(H2:H25,"Needs work")+COUNTIF(H2:H25,"Needs photos")+COUNTIF(H2:H25,"Draft")</f>
        <v/>
      </c>
    </row>
    <row r="30">
      <c r="B30" s="5" t="inlineStr">
        <is>
          <t>Placeholder image slots</t>
        </is>
      </c>
      <c r="C30" s="5">
        <f>SUM(Q2:Q25)</f>
        <v/>
      </c>
    </row>
    <row r="31">
      <c r="B31" s="5" t="inlineStr">
        <is>
          <t>Descriptions to check</t>
        </is>
      </c>
      <c r="C31" s="5">
        <f>COUNTIF(N2:N25,"Check")</f>
        <v/>
      </c>
    </row>
    <row r="32">
      <c r="B32" s="5" t="inlineStr">
        <is>
          <t>Total FAQs</t>
        </is>
      </c>
      <c r="C32" s="5">
        <f>SUM(P2:P25)</f>
        <v/>
      </c>
    </row>
  </sheetData>
  <autoFilter ref="A1:U25"/>
  <conditionalFormatting sqref="H2:H75">
    <cfRule type="cellIs" priority="1" operator="equal" dxfId="0">
      <formula>"Ready"</formula>
    </cfRule>
    <cfRule type="cellIs" priority="2" operator="equal" dxfId="1">
      <formula>"Needs work"</formula>
    </cfRule>
    <cfRule type="cellIs" priority="3" operator="equal" dxfId="2">
      <formula>"Needs photos"</formula>
    </cfRule>
    <cfRule type="cellIs" priority="4" operator="equal" dxfId="3">
      <formula>"Draft"</formula>
    </cfRule>
    <cfRule type="cellIs" priority="5" operator="equal" dxfId="4">
      <formula>"Hidden"</formula>
    </cfRule>
  </conditionalFormatting>
  <conditionalFormatting sqref="N2:N75">
    <cfRule type="cellIs" priority="6" operator="equal" dxfId="2">
      <formula>"Check"</formula>
    </cfRule>
  </conditionalFormatting>
  <conditionalFormatting sqref="Q2:Q75">
    <cfRule type="cellIs" priority="7" operator="greaterThan" dxfId="2">
      <formula>0</formula>
    </cfRule>
  </conditionalFormatting>
  <dataValidations count="2">
    <dataValidation sqref="H2:H75" showDropDown="0" showInputMessage="0" showErrorMessage="0" allowBlank="0" type="list">
      <formula1>"Ready,Needs work,Needs photos,Draft,Hidden"</formula1>
    </dataValidation>
    <dataValidation sqref="I2:I75" showDropDown="0" showInputMessage="0" showErrorMessage="0" allowBlank="0" type="list">
      <formula1>"High,Medium,Low"</formula1>
    </dataValidation>
  </dataValidations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4" customWidth="1" min="2" max="2"/>
    <col width="8" customWidth="1" min="3" max="3"/>
    <col width="34" customWidth="1" min="4" max="4"/>
    <col width="20" customWidth="1" min="5" max="5"/>
    <col width="60" customWidth="1" min="6" max="6"/>
  </cols>
  <sheetData>
    <row r="1">
      <c r="A1" s="6" t="inlineStr">
        <is>
          <t>Old URL</t>
        </is>
      </c>
      <c r="B1" s="6" t="inlineStr">
        <is>
          <t>Destination</t>
        </is>
      </c>
      <c r="C1" s="6" t="inlineStr">
        <is>
          <t>Type</t>
        </is>
      </c>
      <c r="D1" s="6" t="inlineStr">
        <is>
          <t>Source</t>
        </is>
      </c>
      <c r="E1" s="6" t="inlineStr">
        <is>
          <t>Status</t>
        </is>
      </c>
      <c r="F1" s="6" t="inlineStr">
        <is>
          <t>Notes</t>
        </is>
      </c>
    </row>
    <row r="2">
      <c r="A2" s="2" t="inlineStr">
        <is>
          <t>/brow-services</t>
        </is>
      </c>
      <c r="B2" s="2" t="inlineStr">
        <is>
          <t>/brows</t>
        </is>
      </c>
      <c r="C2" s="2" t="inlineStr">
        <is>
          <t>301</t>
        </is>
      </c>
      <c r="D2" s="2" t="inlineStr">
        <is>
          <t>next.config.mjs (earlier)</t>
        </is>
      </c>
      <c r="E2" s="2" t="inlineStr">
        <is>
          <t>Configured</t>
        </is>
      </c>
      <c r="F2" s="2" t="inlineStr"/>
    </row>
    <row r="3">
      <c r="A3" s="2" t="inlineStr">
        <is>
          <t>/lash-lift</t>
        </is>
      </c>
      <c r="B3" s="2" t="inlineStr">
        <is>
          <t>/lashes/lash-lift-and-tint</t>
        </is>
      </c>
      <c r="C3" s="2" t="inlineStr">
        <is>
          <t>301</t>
        </is>
      </c>
      <c r="D3" s="2" t="inlineStr">
        <is>
          <t>next.config.mjs (earlier)</t>
        </is>
      </c>
      <c r="E3" s="2" t="inlineStr">
        <is>
          <t>Configured</t>
        </is>
      </c>
      <c r="F3" s="2" t="inlineStr"/>
    </row>
    <row r="4">
      <c r="A4" s="2" t="inlineStr">
        <is>
          <t>/teeth-services</t>
        </is>
      </c>
      <c r="B4" s="2" t="inlineStr">
        <is>
          <t>/smile</t>
        </is>
      </c>
      <c r="C4" s="2" t="inlineStr">
        <is>
          <t>301</t>
        </is>
      </c>
      <c r="D4" s="2" t="inlineStr">
        <is>
          <t>next.config.mjs (earlier)</t>
        </is>
      </c>
      <c r="E4" s="2" t="inlineStr">
        <is>
          <t>Configured</t>
        </is>
      </c>
      <c r="F4" s="2" t="inlineStr"/>
    </row>
    <row r="5">
      <c r="A5" s="2" t="inlineStr">
        <is>
          <t>/rf-skin-tightening</t>
        </is>
      </c>
      <c r="B5" s="2" t="inlineStr">
        <is>
          <t>/skin-tightening</t>
        </is>
      </c>
      <c r="C5" s="2" t="inlineStr">
        <is>
          <t>301</t>
        </is>
      </c>
      <c r="D5" s="2" t="inlineStr">
        <is>
          <t>next.config.mjs (earlier)</t>
        </is>
      </c>
      <c r="E5" s="2" t="inlineStr">
        <is>
          <t>Configured</t>
        </is>
      </c>
      <c r="F5" s="2" t="inlineStr"/>
    </row>
    <row r="6">
      <c r="A6" s="2" t="inlineStr">
        <is>
          <t>/about-1</t>
        </is>
      </c>
      <c r="B6" s="2" t="inlineStr">
        <is>
          <t>/about</t>
        </is>
      </c>
      <c r="C6" s="2" t="inlineStr">
        <is>
          <t>301</t>
        </is>
      </c>
      <c r="D6" s="2" t="inlineStr">
        <is>
          <t>Search Console (53 impressions)</t>
        </is>
      </c>
      <c r="E6" s="2" t="inlineStr">
        <is>
          <t>Configured</t>
        </is>
      </c>
      <c r="F6" s="2" t="inlineStr"/>
    </row>
    <row r="7">
      <c r="A7" s="2" t="inlineStr">
        <is>
          <t>/about-2</t>
        </is>
      </c>
      <c r="B7" s="2" t="inlineStr">
        <is>
          <t>/about</t>
        </is>
      </c>
      <c r="C7" s="2" t="inlineStr">
        <is>
          <t>301</t>
        </is>
      </c>
      <c r="D7" s="2" t="inlineStr">
        <is>
          <t>Search Console (10 impressions)</t>
        </is>
      </c>
      <c r="E7" s="2" t="inlineStr">
        <is>
          <t>Configured</t>
        </is>
      </c>
      <c r="F7" s="2" t="inlineStr"/>
    </row>
    <row r="8">
      <c r="A8" s="2" t="inlineStr">
        <is>
          <t>/about-3</t>
        </is>
      </c>
      <c r="B8" s="2" t="inlineStr">
        <is>
          <t>/about</t>
        </is>
      </c>
      <c r="C8" s="2" t="inlineStr">
        <is>
          <t>301</t>
        </is>
      </c>
      <c r="D8" s="2" t="inlineStr">
        <is>
          <t>Search Console (10 impressions)</t>
        </is>
      </c>
      <c r="E8" s="2" t="inlineStr">
        <is>
          <t>Configured</t>
        </is>
      </c>
      <c r="F8" s="2" t="inlineStr"/>
    </row>
    <row r="9">
      <c r="A9" s="2" t="inlineStr">
        <is>
          <t>/about-4</t>
        </is>
      </c>
      <c r="B9" s="2" t="inlineStr">
        <is>
          <t>/about</t>
        </is>
      </c>
      <c r="C9" s="2" t="inlineStr">
        <is>
          <t>301</t>
        </is>
      </c>
      <c r="D9" s="2" t="inlineStr">
        <is>
          <t>Search Console (1,119 impressions)</t>
        </is>
      </c>
      <c r="E9" s="2" t="inlineStr">
        <is>
          <t>Configured</t>
        </is>
      </c>
      <c r="F9" s="2" t="inlineStr"/>
    </row>
    <row r="10">
      <c r="A10" s="2" t="inlineStr">
        <is>
          <t>/testimonials</t>
        </is>
      </c>
      <c r="B10" s="2" t="inlineStr">
        <is>
          <t>/</t>
        </is>
      </c>
      <c r="C10" s="2" t="inlineStr">
        <is>
          <t>301</t>
        </is>
      </c>
      <c r="D10" s="2" t="inlineStr">
        <is>
          <t>Search Console (876 impressions, pos 5.4)</t>
        </is>
      </c>
      <c r="E10" s="2" t="inlineStr">
        <is>
          <t>Configured</t>
        </is>
      </c>
      <c r="F10" s="2" t="inlineStr">
        <is>
          <t>Testimonials now live inside page sections; consider a dedicated page if it matters for SEO.</t>
        </is>
      </c>
    </row>
    <row r="11">
      <c r="A11" s="2" t="inlineStr">
        <is>
          <t>/gallery</t>
        </is>
      </c>
      <c r="B11" s="2" t="inlineStr">
        <is>
          <t>/services</t>
        </is>
      </c>
      <c r="C11" s="2" t="inlineStr">
        <is>
          <t>301</t>
        </is>
      </c>
      <c r="D11" s="2" t="inlineStr">
        <is>
          <t>Search Console (43 impressions)</t>
        </is>
      </c>
      <c r="E11" s="2" t="inlineStr">
        <is>
          <t>Configured</t>
        </is>
      </c>
      <c r="F11" s="2" t="inlineStr">
        <is>
          <t>A dedicated gallery page could replace this redirect later.</t>
        </is>
      </c>
    </row>
    <row r="12">
      <c r="A12" s="2" t="inlineStr">
        <is>
          <t>/services</t>
        </is>
      </c>
      <c r="B12" s="2" t="inlineStr">
        <is>
          <t>(kept)</t>
        </is>
      </c>
      <c r="C12" s="2" t="inlineStr">
        <is>
          <t>-</t>
        </is>
      </c>
      <c r="D12" s="2" t="inlineStr">
        <is>
          <t>Search Console (2,777 impressions)</t>
        </is>
      </c>
      <c r="E12" s="2" t="inlineStr">
        <is>
          <t>Kept</t>
        </is>
      </c>
      <c r="F12" s="2" t="inlineStr">
        <is>
          <t>Not redirected.</t>
        </is>
      </c>
    </row>
    <row r="13">
      <c r="A13" s="2" t="inlineStr">
        <is>
          <t>http://browsonpointkelowna.com/ and non-www</t>
        </is>
      </c>
      <c r="B13" s="2" t="inlineStr">
        <is>
          <t>https://www.browsonpointkelowna.com/</t>
        </is>
      </c>
      <c r="C13" s="2" t="inlineStr">
        <is>
          <t>301</t>
        </is>
      </c>
      <c r="D13" s="2" t="inlineStr">
        <is>
          <t>Ahrefs (links hit both hosts)</t>
        </is>
      </c>
      <c r="E13" s="2" t="inlineStr">
        <is>
          <t>TO DO (Netlify)</t>
        </is>
      </c>
      <c r="F13" s="2" t="inlineStr">
        <is>
          <t>Set host-level redirect in Netlify; non-www and http versions both carry backlinks.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90" customWidth="1" min="3" max="3"/>
    <col width="14" customWidth="1" min="4" max="4"/>
    <col width="10" customWidth="1" min="5" max="5"/>
    <col width="12" customWidth="1" min="6" max="6"/>
  </cols>
  <sheetData>
    <row r="1">
      <c r="A1" s="6" t="inlineStr">
        <is>
          <t>#</t>
        </is>
      </c>
      <c r="B1" s="6" t="inlineStr">
        <is>
          <t>Area</t>
        </is>
      </c>
      <c r="C1" s="6" t="inlineStr">
        <is>
          <t>Item</t>
        </is>
      </c>
      <c r="D1" s="6" t="inlineStr">
        <is>
          <t>Owner</t>
        </is>
      </c>
      <c r="E1" s="6" t="inlineStr">
        <is>
          <t>Priority</t>
        </is>
      </c>
      <c r="F1" s="6" t="inlineStr">
        <is>
          <t>Status</t>
        </is>
      </c>
    </row>
    <row r="2">
      <c r="A2" s="2" t="n">
        <v>1</v>
      </c>
      <c r="B2" s="2" t="inlineStr">
        <is>
          <t>Launch</t>
        </is>
      </c>
      <c r="C2" s="2" t="inlineStr">
        <is>
          <t>Remove the site-wide noindex meta (layout.tsx) and flip robots.ts to allow crawling; also remove page-level noindex on /, /about, /services.</t>
        </is>
      </c>
      <c r="D2" s="2" t="inlineStr">
        <is>
          <t>Claude / you</t>
        </is>
      </c>
      <c r="E2" s="2" t="inlineStr">
        <is>
          <t>High</t>
        </is>
      </c>
      <c r="F2" s="2" t="inlineStr">
        <is>
          <t>Open</t>
        </is>
      </c>
    </row>
    <row r="3">
      <c r="A3" s="2" t="n">
        <v>2</v>
      </c>
      <c r="B3" s="2" t="inlineStr">
        <is>
          <t>Launch</t>
        </is>
      </c>
      <c r="C3" s="2" t="inlineStr">
        <is>
          <t>Netlify: redirect non-www and http to https://www.browsonpointkelowna.com.</t>
        </is>
      </c>
      <c r="D3" s="2" t="inlineStr">
        <is>
          <t>You</t>
        </is>
      </c>
      <c r="E3" s="2" t="inlineStr">
        <is>
          <t>High</t>
        </is>
      </c>
      <c r="F3" s="2" t="inlineStr">
        <is>
          <t>Open</t>
        </is>
      </c>
    </row>
    <row r="4">
      <c r="A4" s="2" t="n">
        <v>3</v>
      </c>
      <c r="B4" s="2" t="inlineStr">
        <is>
          <t>Launch</t>
        </is>
      </c>
      <c r="C4" s="2" t="inlineStr">
        <is>
          <t>Add the new site to Search Console as a Domain property and submit sitemap.xml.</t>
        </is>
      </c>
      <c r="D4" s="2" t="inlineStr">
        <is>
          <t>You</t>
        </is>
      </c>
      <c r="E4" s="2" t="inlineStr">
        <is>
          <t>High</t>
        </is>
      </c>
      <c r="F4" s="2" t="inlineStr">
        <is>
          <t>Open</t>
        </is>
      </c>
    </row>
    <row r="5">
      <c r="A5" s="2" t="n">
        <v>4</v>
      </c>
      <c r="B5" s="2" t="inlineStr">
        <is>
          <t>Analytics</t>
        </is>
      </c>
      <c r="C5" s="2" t="inlineStr">
        <is>
          <t>GA4 tag is installed (G-RRXLXBYSWD). Create the booking_click event and mark it a key event; link GA4 to Search Console.</t>
        </is>
      </c>
      <c r="D5" s="2" t="inlineStr">
        <is>
          <t>You</t>
        </is>
      </c>
      <c r="E5" s="2" t="inlineStr">
        <is>
          <t>Medium</t>
        </is>
      </c>
      <c r="F5" s="2" t="inlineStr">
        <is>
          <t>Open</t>
        </is>
      </c>
    </row>
    <row r="6">
      <c r="A6" s="2" t="n">
        <v>5</v>
      </c>
      <c r="B6" s="2" t="inlineStr">
        <is>
          <t>Content</t>
        </is>
      </c>
      <c r="C6" s="2" t="inlineStr">
        <is>
          <t>Jamie to review both blog posts and the new FAQ answers (health, patch test, aftercare, who-should-avoid wording).</t>
        </is>
      </c>
      <c r="D6" s="2" t="inlineStr">
        <is>
          <t>Jamie</t>
        </is>
      </c>
      <c r="E6" s="2" t="inlineStr">
        <is>
          <t>High</t>
        </is>
      </c>
      <c r="F6" s="2" t="inlineStr">
        <is>
          <t>Open</t>
        </is>
      </c>
    </row>
    <row r="7">
      <c r="A7" s="2" t="n">
        <v>6</v>
      </c>
      <c r="B7" s="2" t="inlineStr">
        <is>
          <t>Photos</t>
        </is>
      </c>
      <c r="C7" s="2" t="inlineStr">
        <is>
          <t>Lash &amp; Brow Tinting: 4 gallery slots + hub card have no photo.</t>
        </is>
      </c>
      <c r="D7" s="2" t="inlineStr">
        <is>
          <t>You</t>
        </is>
      </c>
      <c r="E7" s="2" t="inlineStr">
        <is>
          <t>High</t>
        </is>
      </c>
      <c r="F7" s="2" t="inlineStr">
        <is>
          <t>Open</t>
        </is>
      </c>
    </row>
    <row r="8">
      <c r="A8" s="2" t="n">
        <v>7</v>
      </c>
      <c r="B8" s="2" t="inlineStr">
        <is>
          <t>Photos</t>
        </is>
      </c>
      <c r="C8" s="2" t="inlineStr">
        <is>
          <t>Skin Tightening: 4 gallery slots + /services card have no photo.</t>
        </is>
      </c>
      <c r="D8" s="2" t="inlineStr">
        <is>
          <t>You</t>
        </is>
      </c>
      <c r="E8" s="2" t="inlineStr">
        <is>
          <t>High</t>
        </is>
      </c>
      <c r="F8" s="2" t="inlineStr">
        <is>
          <t>Open</t>
        </is>
      </c>
    </row>
    <row r="9">
      <c r="A9" s="2" t="n">
        <v>8</v>
      </c>
      <c r="B9" s="2" t="inlineStr">
        <is>
          <t>Photos</t>
        </is>
      </c>
      <c r="C9" s="2" t="inlineStr">
        <is>
          <t>Blog covers for both posts (/public/blog/&lt;slug&gt;.jpg) and a 1200x630 OG image for the microblading post.</t>
        </is>
      </c>
      <c r="D9" s="2" t="inlineStr">
        <is>
          <t>You</t>
        </is>
      </c>
      <c r="E9" s="2" t="inlineStr">
        <is>
          <t>Medium</t>
        </is>
      </c>
      <c r="F9" s="2" t="inlineStr">
        <is>
          <t>Open</t>
        </is>
      </c>
    </row>
    <row r="10">
      <c r="A10" s="2" t="n">
        <v>9</v>
      </c>
      <c r="B10" s="2" t="inlineStr">
        <is>
          <t>Photos</t>
        </is>
      </c>
      <c r="C10" s="2" t="inlineStr">
        <is>
          <t>Permanent eyeliner: replace the image with the "Simple and sweet" banner; add more eyeliner photos.</t>
        </is>
      </c>
      <c r="D10" s="2" t="inlineStr">
        <is>
          <t>You</t>
        </is>
      </c>
      <c r="E10" s="2" t="inlineStr">
        <is>
          <t>Medium</t>
        </is>
      </c>
      <c r="F10" s="2" t="inlineStr">
        <is>
          <t>Open</t>
        </is>
      </c>
    </row>
    <row r="11">
      <c r="A11" s="2" t="n">
        <v>10</v>
      </c>
      <c r="B11" s="2" t="inlineStr">
        <is>
          <t>Photos</t>
        </is>
      </c>
      <c r="C11" s="2" t="inlineStr">
        <is>
          <t>Add a Korean lash lift photo; 24K-gold-specific whitening photos if available; more brow tint photos.</t>
        </is>
      </c>
      <c r="D11" s="2" t="inlineStr">
        <is>
          <t>You</t>
        </is>
      </c>
      <c r="E11" s="2" t="inlineStr">
        <is>
          <t>Low</t>
        </is>
      </c>
      <c r="F11" s="2" t="inlineStr">
        <is>
          <t>Open</t>
        </is>
      </c>
    </row>
    <row r="12">
      <c r="A12" s="2" t="n">
        <v>11</v>
      </c>
      <c r="B12" s="2" t="inlineStr">
        <is>
          <t>Photos</t>
        </is>
      </c>
      <c r="C12" s="2" t="inlineStr">
        <is>
          <t>Service gallery images all use the service title as alt text. Write descriptive alt text per photo.</t>
        </is>
      </c>
      <c r="D12" s="2" t="inlineStr">
        <is>
          <t>Claude</t>
        </is>
      </c>
      <c r="E12" s="2" t="inlineStr">
        <is>
          <t>Medium</t>
        </is>
      </c>
      <c r="F12" s="2" t="inlineStr">
        <is>
          <t>Open</t>
        </is>
      </c>
    </row>
    <row r="13">
      <c r="A13" s="2" t="n">
        <v>12</v>
      </c>
      <c r="B13" s="2" t="inlineStr">
        <is>
          <t>Photos</t>
        </is>
      </c>
      <c r="C13" s="2" t="inlineStr">
        <is>
          <t>public/overflow is served publicly and is 42 MB uncompressed: delete, compress, or exclude before launch.</t>
        </is>
      </c>
      <c r="D13" s="2" t="inlineStr">
        <is>
          <t>You</t>
        </is>
      </c>
      <c r="E13" s="2" t="inlineStr">
        <is>
          <t>Medium</t>
        </is>
      </c>
      <c r="F13" s="2" t="inlineStr">
        <is>
          <t>Open</t>
        </is>
      </c>
    </row>
    <row r="14">
      <c r="A14" s="2" t="n">
        <v>13</v>
      </c>
      <c r="B14" s="2" t="inlineStr">
        <is>
          <t>Hidden page</t>
        </is>
      </c>
      <c r="C14" s="2" t="inlineStr">
        <is>
          <t>Lash Growth Serum is commented out. Decide: bring back (needs product photo or brand logo) or retire.</t>
        </is>
      </c>
      <c r="D14" s="2" t="inlineStr">
        <is>
          <t>You</t>
        </is>
      </c>
      <c r="E14" s="2" t="inlineStr">
        <is>
          <t>Low</t>
        </is>
      </c>
      <c r="F14" s="2" t="inlineStr">
        <is>
          <t>Open</t>
        </is>
      </c>
    </row>
    <row r="15">
      <c r="A15" s="2" t="n">
        <v>14</v>
      </c>
      <c r="B15" s="2" t="inlineStr">
        <is>
          <t>Pricing</t>
        </is>
      </c>
      <c r="C15" s="2" t="inlineStr">
        <is>
          <t>Prices in the repo are assumed correct. Differences from the old site: permanent eyeliner $199 (old $230), tooth gem $40 (old $60 + $20 each). Verify against Acuity.</t>
        </is>
      </c>
      <c r="D15" s="2" t="inlineStr">
        <is>
          <t>You</t>
        </is>
      </c>
      <c r="E15" s="2" t="inlineStr">
        <is>
          <t>Medium</t>
        </is>
      </c>
      <c r="F15" s="2" t="inlineStr">
        <is>
          <t>Open</t>
        </is>
      </c>
    </row>
    <row r="16">
      <c r="A16" s="2" t="n">
        <v>15</v>
      </c>
      <c r="B16" s="2" t="inlineStr">
        <is>
          <t>Copy</t>
        </is>
      </c>
      <c r="C16" s="2" t="inlineStr">
        <is>
          <t>Assumed correct: brow shaping is hot wax; Jamie does not offer threading, lamination, nano brows, ombre, lip work or lash extensions.</t>
        </is>
      </c>
      <c r="D16" s="2" t="inlineStr">
        <is>
          <t>You</t>
        </is>
      </c>
      <c r="E16" s="2" t="inlineStr">
        <is>
          <t>Medium</t>
        </is>
      </c>
      <c r="F16" s="2" t="inlineStr">
        <is>
          <t>Open</t>
        </is>
      </c>
    </row>
    <row r="17">
      <c r="A17" s="2" t="n">
        <v>16</v>
      </c>
      <c r="B17" s="2" t="inlineStr">
        <is>
          <t>Copy</t>
        </is>
      </c>
      <c r="C17" s="2" t="inlineStr">
        <is>
          <t>Minimum age is 18 across the site.</t>
        </is>
      </c>
      <c r="D17" s="2" t="inlineStr">
        <is>
          <t>Done</t>
        </is>
      </c>
      <c r="E17" s="2" t="inlineStr">
        <is>
          <t>Low</t>
        </is>
      </c>
      <c r="F17" s="2" t="inlineStr">
        <is>
          <t>Done</t>
        </is>
      </c>
    </row>
    <row r="18">
      <c r="A18" s="2" t="n">
        <v>17</v>
      </c>
      <c r="B18" s="2" t="inlineStr">
        <is>
          <t>Copy</t>
        </is>
      </c>
      <c r="C18" s="2" t="inlineStr">
        <is>
          <t>Training page: does Jamie train microblading/PMU? If so add it (Ink &amp; Arch gets microblading course traffic).</t>
        </is>
      </c>
      <c r="D18" s="2" t="inlineStr">
        <is>
          <t>You</t>
        </is>
      </c>
      <c r="E18" s="2" t="inlineStr">
        <is>
          <t>Low</t>
        </is>
      </c>
      <c r="F18" s="2" t="inlineStr">
        <is>
          <t>Open</t>
        </is>
      </c>
    </row>
    <row r="19">
      <c r="A19" s="2" t="n">
        <v>18</v>
      </c>
      <c r="B19" s="2" t="inlineStr">
        <is>
          <t>Copy</t>
        </is>
      </c>
      <c r="C19" s="2" t="inlineStr">
        <is>
          <t>Meta descriptions under 150 characters: /about, /contact, /training, /blog, and the lash lift aftercare post.</t>
        </is>
      </c>
      <c r="D19" s="2" t="inlineStr">
        <is>
          <t>Claude</t>
        </is>
      </c>
      <c r="E19" s="2" t="inlineStr">
        <is>
          <t>Low</t>
        </is>
      </c>
      <c r="F19" s="2" t="inlineStr">
        <is>
          <t>Open</t>
        </is>
      </c>
    </row>
    <row r="20">
      <c r="A20" s="2" t="n">
        <v>19</v>
      </c>
      <c r="B20" s="2" t="inlineStr">
        <is>
          <t>SEO</t>
        </is>
      </c>
      <c r="C20" s="2" t="inlineStr">
        <is>
          <t>Add "Learn more: What is X?" links from service pages to their pillar posts once the pillars exist.</t>
        </is>
      </c>
      <c r="D20" s="2" t="inlineStr">
        <is>
          <t>Claude</t>
        </is>
      </c>
      <c r="E20" s="2" t="inlineStr">
        <is>
          <t>Medium</t>
        </is>
      </c>
      <c r="F20" s="2" t="inlineStr">
        <is>
          <t>Open</t>
        </is>
      </c>
    </row>
    <row r="21">
      <c r="A21" s="2" t="n">
        <v>20</v>
      </c>
      <c r="B21" s="2" t="inlineStr">
        <is>
          <t>SEO</t>
        </is>
      </c>
      <c r="C21" s="2" t="inlineStr">
        <is>
          <t>Write pillar posts per BLOG-PLAN.md: Lash lift, Permanent makeup, Saline removal, then powder brows vs microblading.</t>
        </is>
      </c>
      <c r="D21" s="2" t="inlineStr">
        <is>
          <t>Claude / Jamie</t>
        </is>
      </c>
      <c r="E21" s="2" t="inlineStr">
        <is>
          <t>High</t>
        </is>
      </c>
      <c r="F21" s="2" t="inlineStr">
        <is>
          <t>Open</t>
        </is>
      </c>
    </row>
    <row r="22">
      <c r="A22" s="2" t="n">
        <v>21</v>
      </c>
      <c r="B22" s="2" t="inlineStr">
        <is>
          <t>SEO</t>
        </is>
      </c>
      <c r="C22" s="2" t="inlineStr">
        <is>
          <t>Fix the ProfileCanada listing address (3139 Sandstone Dr should be 3344 Sundance Dr) and align all citations (Fresha, Birdeye, PlaceProfile, OkanaganGo, Okanagan INK).</t>
        </is>
      </c>
      <c r="D22" s="2" t="inlineStr">
        <is>
          <t>You</t>
        </is>
      </c>
      <c r="E22" s="2" t="inlineStr">
        <is>
          <t>Medium</t>
        </is>
      </c>
      <c r="F22" s="2" t="inlineStr">
        <is>
          <t>Open</t>
        </is>
      </c>
    </row>
    <row r="23">
      <c r="A23" s="2" t="n">
        <v>22</v>
      </c>
      <c r="B23" s="2" t="inlineStr">
        <is>
          <t>SEO</t>
        </is>
      </c>
      <c r="C23" s="2" t="inlineStr">
        <is>
          <t>Request supplier "find an artist" listings (InLei, Kwadron, Vertix, Li Pigments, Swarovski, Brow Daddy) and local directory links.</t>
        </is>
      </c>
      <c r="D23" s="2" t="inlineStr">
        <is>
          <t>You</t>
        </is>
      </c>
      <c r="E23" s="2" t="inlineStr">
        <is>
          <t>Low</t>
        </is>
      </c>
      <c r="F23" s="2" t="inlineStr">
        <is>
          <t>Open</t>
        </is>
      </c>
    </row>
    <row r="24">
      <c r="A24" s="2" t="n">
        <v>23</v>
      </c>
      <c r="B24" s="2" t="inlineStr">
        <is>
          <t>SEO</t>
        </is>
      </c>
      <c r="C24" s="2" t="inlineStr">
        <is>
          <t>Watch the September 2026 impressions drop on the old site (5,906 to 3,338) after launch.</t>
        </is>
      </c>
      <c r="D24" s="2" t="inlineStr">
        <is>
          <t>You</t>
        </is>
      </c>
      <c r="E24" s="2" t="inlineStr">
        <is>
          <t>Low</t>
        </is>
      </c>
      <c r="F24" s="2" t="inlineStr">
        <is>
          <t>Open</t>
        </is>
      </c>
    </row>
  </sheetData>
  <dataValidations count="1">
    <dataValidation sqref="F2:F83" showDropDown="0" showInputMessage="0" showErrorMessage="0" allowBlank="0" type="list">
      <formula1>"Open,In progress,Done"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70" customWidth="1" min="1" max="1"/>
    <col width="42" customWidth="1" min="2" max="2"/>
  </cols>
  <sheetData>
    <row r="1">
      <c r="A1" s="7" t="inlineStr">
        <is>
          <t>Production base URL</t>
        </is>
      </c>
      <c r="B1" s="8" t="inlineStr">
        <is>
          <t>https://www.browsonpointkelowna.com</t>
        </is>
      </c>
    </row>
    <row r="2">
      <c r="A2" s="7" t="inlineStr">
        <is>
          <t>Meta description target length (min)</t>
        </is>
      </c>
      <c r="B2" s="8" t="n">
        <v>150</v>
      </c>
    </row>
    <row r="3">
      <c r="A3" s="7" t="inlineStr">
        <is>
          <t>Meta description target length (max)</t>
        </is>
      </c>
      <c r="B3" s="8" t="n">
        <v>158</v>
      </c>
    </row>
    <row r="5">
      <c r="A5" s="7" t="inlineStr">
        <is>
          <t>Notes</t>
        </is>
      </c>
    </row>
    <row r="6">
      <c r="A6" s="5" t="inlineStr">
        <is>
          <t>Blue cells are inputs. The base URL feeds Full URL; the length targets feed Desc OK.</t>
        </is>
      </c>
    </row>
    <row r="7">
      <c r="A7" s="5" t="inlineStr">
        <is>
          <t>Page data comes from outputs/pages.json (scripts/extract_pages.py). Status, priority and notes come from the CSV files.</t>
        </is>
      </c>
    </row>
    <row r="8">
      <c r="A8" s="5" t="inlineStr">
        <is>
          <t>Query data comes from Search Console and Ahrefs exports (see outputs/*-summary.md).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2026-10-04T18:47:49Z</dcterms:created>
  <dcterms:modified xmlns:dcterms="http://purl.org/dc/terms/" xmlns:xsi="http://www.w3.org/2001/XMLSchema-instance" xsi:type="dcterms:W3CDTF">2026-10-04T18:47:49Z</dcterms:modified>
</cp:coreProperties>
</file>